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5119\Downloads\"/>
    </mc:Choice>
  </mc:AlternateContent>
  <xr:revisionPtr revIDLastSave="0" documentId="13_ncr:1_{428F7938-48E3-4906-BF7B-D97F026A3D04}" xr6:coauthVersionLast="47" xr6:coauthVersionMax="47" xr10:uidLastSave="{00000000-0000-0000-0000-000000000000}"/>
  <bookViews>
    <workbookView xWindow="-108" yWindow="-108" windowWidth="23256" windowHeight="12456" xr2:uid="{51AEA5FF-C0EC-4AD8-ACC4-4151F49CA348}"/>
  </bookViews>
  <sheets>
    <sheet name="DR" sheetId="1" r:id="rId1"/>
    <sheet name="Cust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" i="1" l="1"/>
  <c r="AJ2" i="1" s="1"/>
  <c r="AD2" i="1"/>
  <c r="AF2" i="1" s="1"/>
  <c r="Z2" i="1"/>
  <c r="AB2" i="1" s="1"/>
  <c r="V7" i="1"/>
  <c r="X7" i="1" s="1"/>
  <c r="H10" i="2"/>
  <c r="F10" i="2"/>
  <c r="V2" i="1"/>
  <c r="X2" i="1" s="1"/>
  <c r="H9" i="2"/>
  <c r="G9" i="2"/>
  <c r="F9" i="2"/>
  <c r="R2" i="1"/>
  <c r="T2" i="1" s="1"/>
  <c r="H8" i="2"/>
  <c r="F8" i="2"/>
  <c r="N2" i="1"/>
  <c r="P2" i="1" s="1"/>
  <c r="H7" i="2"/>
  <c r="F7" i="2"/>
  <c r="H6" i="2"/>
  <c r="F6" i="2"/>
  <c r="E6" i="2"/>
  <c r="H5" i="2"/>
  <c r="F5" i="2"/>
  <c r="H4" i="2"/>
  <c r="F4" i="2"/>
  <c r="L2" i="1"/>
  <c r="H3" i="2"/>
  <c r="F3" i="2"/>
  <c r="D2" i="1"/>
  <c r="F12" i="1" s="1"/>
  <c r="H12" i="1" s="1"/>
  <c r="F2" i="1" l="1"/>
  <c r="H2" i="1" s="1"/>
  <c r="F7" i="1"/>
  <c r="H7" i="1" s="1"/>
</calcChain>
</file>

<file path=xl/sharedStrings.xml><?xml version="1.0" encoding="utf-8"?>
<sst xmlns="http://schemas.openxmlformats.org/spreadsheetml/2006/main" count="61" uniqueCount="48">
  <si>
    <t>Reunião cliente</t>
  </si>
  <si>
    <t>Giordano</t>
  </si>
  <si>
    <t>MAG</t>
  </si>
  <si>
    <t>1-1</t>
  </si>
  <si>
    <t>Tarefa</t>
  </si>
  <si>
    <t>Duração</t>
  </si>
  <si>
    <t>RH</t>
  </si>
  <si>
    <t>Custo T RH</t>
  </si>
  <si>
    <t>Outros custos</t>
  </si>
  <si>
    <t>Custo Tarefa</t>
  </si>
  <si>
    <t>Custo RH/h</t>
  </si>
  <si>
    <t>Duração e custo devem estar na mesma base de tempo.</t>
  </si>
  <si>
    <t>Pesquisa associações</t>
  </si>
  <si>
    <t>Bonetti</t>
  </si>
  <si>
    <t>2-3</t>
  </si>
  <si>
    <t>Pesquisa internet</t>
  </si>
  <si>
    <t>2-4</t>
  </si>
  <si>
    <t>O número do retângulo superior direito é somente</t>
  </si>
  <si>
    <t>um referencial, um macete matemático, para</t>
  </si>
  <si>
    <t>gerar o dia de início da tarefa. O seu cálculo</t>
  </si>
  <si>
    <t>ajuda, somando-se +1, na determinação exata</t>
  </si>
  <si>
    <t>do dia do início da tarefa.</t>
  </si>
  <si>
    <t>Pesquisa casos reais</t>
  </si>
  <si>
    <t>Denise</t>
  </si>
  <si>
    <t>2-2</t>
  </si>
  <si>
    <t>Pesquisa gestores</t>
  </si>
  <si>
    <t>Atenção às</t>
  </si>
  <si>
    <t>superalocações!</t>
  </si>
  <si>
    <t>4-4</t>
  </si>
  <si>
    <t>Bonnetti</t>
  </si>
  <si>
    <t>Consolidação pesquisas</t>
  </si>
  <si>
    <t>5-5</t>
  </si>
  <si>
    <t>6-7</t>
  </si>
  <si>
    <t>Elaborar site</t>
  </si>
  <si>
    <t>8-8</t>
  </si>
  <si>
    <t>Testador 1</t>
  </si>
  <si>
    <t>Edson</t>
  </si>
  <si>
    <t>Testador 2</t>
  </si>
  <si>
    <t>Eliseu</t>
  </si>
  <si>
    <t>8-9</t>
  </si>
  <si>
    <t>Revisão final</t>
  </si>
  <si>
    <t>10-10</t>
  </si>
  <si>
    <t>Entrega/homologação</t>
  </si>
  <si>
    <t>Alex</t>
  </si>
  <si>
    <t>11-11</t>
  </si>
  <si>
    <t>Loiola</t>
  </si>
  <si>
    <t>Encerramento</t>
  </si>
  <si>
    <t>12-13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</si>
</sst>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quotePrefix="1" applyBorder="1" applyAlignment="1">
      <alignment horizontal="center"/>
    </xf>
    <xf numFmtId="44" fontId="0" fillId="0" borderId="0" xfId="1" applyFont="1"/>
    <xf numFmtId="44" fontId="0" fillId="0" borderId="0" xfId="0" applyNumberFormat="1"/>
    <xf numFmtId="16" fontId="0" fillId="0" borderId="2" xfId="0" quotePrefix="1" applyNumberFormat="1" applyBorder="1" applyAlignment="1">
      <alignment horizontal="center"/>
    </xf>
    <xf numFmtId="0" fontId="2" fillId="0" borderId="0" xfId="0" applyFont="1"/>
    <xf numFmtId="0" fontId="0" fillId="2" borderId="3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114301</xdr:colOff>
      <xdr:row>5</xdr:row>
      <xdr:rowOff>68580</xdr:rowOff>
    </xdr:from>
    <xdr:to>
      <xdr:col>36</xdr:col>
      <xdr:colOff>594361</xdr:colOff>
      <xdr:row>16</xdr:row>
      <xdr:rowOff>85780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48C7E8D-F04D-24E1-F92A-F9AB1B0BF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11641" y="998220"/>
          <a:ext cx="4716780" cy="2059360"/>
        </a:xfrm>
        <a:prstGeom prst="rect">
          <a:avLst/>
        </a:prstGeom>
      </xdr:spPr>
    </xdr:pic>
    <xdr:clientData/>
  </xdr:twoCellAnchor>
  <xdr:twoCellAnchor editAs="oneCell">
    <xdr:from>
      <xdr:col>18</xdr:col>
      <xdr:colOff>160020</xdr:colOff>
      <xdr:row>16</xdr:row>
      <xdr:rowOff>175261</xdr:rowOff>
    </xdr:from>
    <xdr:to>
      <xdr:col>34</xdr:col>
      <xdr:colOff>441960</xdr:colOff>
      <xdr:row>24</xdr:row>
      <xdr:rowOff>56813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E9242C7-7B3B-DE06-0D84-DCC3D9DF6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90360" y="3147061"/>
          <a:ext cx="6248400" cy="1344592"/>
        </a:xfrm>
        <a:prstGeom prst="rect">
          <a:avLst/>
        </a:prstGeom>
      </xdr:spPr>
    </xdr:pic>
    <xdr:clientData/>
  </xdr:twoCellAnchor>
  <xdr:twoCellAnchor>
    <xdr:from>
      <xdr:col>4</xdr:col>
      <xdr:colOff>7620</xdr:colOff>
      <xdr:row>2</xdr:row>
      <xdr:rowOff>175260</xdr:rowOff>
    </xdr:from>
    <xdr:to>
      <xdr:col>5</xdr:col>
      <xdr:colOff>22860</xdr:colOff>
      <xdr:row>3</xdr:row>
      <xdr:rowOff>0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F437904C-CD70-19E9-3009-1A6F3EBCDEFF}"/>
            </a:ext>
          </a:extLst>
        </xdr:cNvPr>
        <xdr:cNvCxnSpPr/>
      </xdr:nvCxnSpPr>
      <xdr:spPr>
        <a:xfrm flipV="1">
          <a:off x="1722120" y="548640"/>
          <a:ext cx="2362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7</xdr:row>
      <xdr:rowOff>175260</xdr:rowOff>
    </xdr:from>
    <xdr:to>
      <xdr:col>5</xdr:col>
      <xdr:colOff>22860</xdr:colOff>
      <xdr:row>8</xdr:row>
      <xdr:rowOff>0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12FDBFC4-8EE0-471F-804B-1970D508BEAF}"/>
            </a:ext>
          </a:extLst>
        </xdr:cNvPr>
        <xdr:cNvCxnSpPr/>
      </xdr:nvCxnSpPr>
      <xdr:spPr>
        <a:xfrm flipV="1">
          <a:off x="1722120" y="548640"/>
          <a:ext cx="1905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12</xdr:row>
      <xdr:rowOff>175260</xdr:rowOff>
    </xdr:from>
    <xdr:to>
      <xdr:col>5</xdr:col>
      <xdr:colOff>22860</xdr:colOff>
      <xdr:row>13</xdr:row>
      <xdr:rowOff>0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7E625CBA-5A7B-4433-8EC5-DA1ABD533F52}"/>
            </a:ext>
          </a:extLst>
        </xdr:cNvPr>
        <xdr:cNvCxnSpPr/>
      </xdr:nvCxnSpPr>
      <xdr:spPr>
        <a:xfrm flipV="1">
          <a:off x="1722120" y="1478280"/>
          <a:ext cx="1905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2</xdr:row>
      <xdr:rowOff>175260</xdr:rowOff>
    </xdr:from>
    <xdr:to>
      <xdr:col>9</xdr:col>
      <xdr:colOff>22860</xdr:colOff>
      <xdr:row>3</xdr:row>
      <xdr:rowOff>0</xdr:rowOff>
    </xdr:to>
    <xdr:cxnSp macro="">
      <xdr:nvCxnSpPr>
        <xdr:cNvPr id="10" name="Conector de Seta Reta 9">
          <a:extLst>
            <a:ext uri="{FF2B5EF4-FFF2-40B4-BE49-F238E27FC236}">
              <a16:creationId xmlns:a16="http://schemas.microsoft.com/office/drawing/2014/main" id="{974F5DCA-D289-4487-9BC9-3FAA36202065}"/>
            </a:ext>
          </a:extLst>
        </xdr:cNvPr>
        <xdr:cNvCxnSpPr/>
      </xdr:nvCxnSpPr>
      <xdr:spPr>
        <a:xfrm flipV="1">
          <a:off x="1722120" y="3337560"/>
          <a:ext cx="1905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45720</xdr:colOff>
      <xdr:row>3</xdr:row>
      <xdr:rowOff>7620</xdr:rowOff>
    </xdr:from>
    <xdr:to>
      <xdr:col>4</xdr:col>
      <xdr:colOff>53340</xdr:colOff>
      <xdr:row>12</xdr:row>
      <xdr:rowOff>152400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889D798B-5EC5-B425-A496-0410DAAF7B97}"/>
            </a:ext>
          </a:extLst>
        </xdr:cNvPr>
        <xdr:cNvCxnSpPr/>
      </xdr:nvCxnSpPr>
      <xdr:spPr>
        <a:xfrm>
          <a:off x="1760220" y="563880"/>
          <a:ext cx="7620" cy="18211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7620</xdr:colOff>
      <xdr:row>2</xdr:row>
      <xdr:rowOff>175260</xdr:rowOff>
    </xdr:from>
    <xdr:to>
      <xdr:col>13</xdr:col>
      <xdr:colOff>22860</xdr:colOff>
      <xdr:row>3</xdr:row>
      <xdr:rowOff>0</xdr:rowOff>
    </xdr:to>
    <xdr:cxnSp macro="">
      <xdr:nvCxnSpPr>
        <xdr:cNvPr id="13" name="Conector de Seta Reta 12">
          <a:extLst>
            <a:ext uri="{FF2B5EF4-FFF2-40B4-BE49-F238E27FC236}">
              <a16:creationId xmlns:a16="http://schemas.microsoft.com/office/drawing/2014/main" id="{7BDFD5B1-AFE5-4F72-805C-44DD6D920B8F}"/>
            </a:ext>
          </a:extLst>
        </xdr:cNvPr>
        <xdr:cNvCxnSpPr/>
      </xdr:nvCxnSpPr>
      <xdr:spPr>
        <a:xfrm flipV="1">
          <a:off x="3177540" y="548640"/>
          <a:ext cx="1371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7620</xdr:colOff>
      <xdr:row>8</xdr:row>
      <xdr:rowOff>7620</xdr:rowOff>
    </xdr:from>
    <xdr:to>
      <xdr:col>12</xdr:col>
      <xdr:colOff>83820</xdr:colOff>
      <xdr:row>8</xdr:row>
      <xdr:rowOff>22860</xdr:rowOff>
    </xdr:to>
    <xdr:cxnSp macro="">
      <xdr:nvCxnSpPr>
        <xdr:cNvPr id="14" name="Conector de Seta Reta 13">
          <a:extLst>
            <a:ext uri="{FF2B5EF4-FFF2-40B4-BE49-F238E27FC236}">
              <a16:creationId xmlns:a16="http://schemas.microsoft.com/office/drawing/2014/main" id="{62B1E385-F400-4928-B246-E62351BFE773}"/>
            </a:ext>
          </a:extLst>
        </xdr:cNvPr>
        <xdr:cNvCxnSpPr/>
      </xdr:nvCxnSpPr>
      <xdr:spPr>
        <a:xfrm flipV="1">
          <a:off x="3177540" y="1493520"/>
          <a:ext cx="140208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12</xdr:row>
      <xdr:rowOff>167640</xdr:rowOff>
    </xdr:from>
    <xdr:to>
      <xdr:col>12</xdr:col>
      <xdr:colOff>76200</xdr:colOff>
      <xdr:row>13</xdr:row>
      <xdr:rowOff>0</xdr:rowOff>
    </xdr:to>
    <xdr:cxnSp macro="">
      <xdr:nvCxnSpPr>
        <xdr:cNvPr id="16" name="Conector de Seta Reta 15">
          <a:extLst>
            <a:ext uri="{FF2B5EF4-FFF2-40B4-BE49-F238E27FC236}">
              <a16:creationId xmlns:a16="http://schemas.microsoft.com/office/drawing/2014/main" id="{F71DD9F7-53FE-492B-9CD0-B9380002962B}"/>
            </a:ext>
          </a:extLst>
        </xdr:cNvPr>
        <xdr:cNvCxnSpPr/>
      </xdr:nvCxnSpPr>
      <xdr:spPr>
        <a:xfrm flipV="1">
          <a:off x="3169920" y="2400300"/>
          <a:ext cx="1402080" cy="152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53340</xdr:colOff>
      <xdr:row>3</xdr:row>
      <xdr:rowOff>0</xdr:rowOff>
    </xdr:from>
    <xdr:to>
      <xdr:col>12</xdr:col>
      <xdr:colOff>60960</xdr:colOff>
      <xdr:row>12</xdr:row>
      <xdr:rowOff>144780</xdr:rowOff>
    </xdr:to>
    <xdr:cxnSp macro="">
      <xdr:nvCxnSpPr>
        <xdr:cNvPr id="17" name="Conector reto 16">
          <a:extLst>
            <a:ext uri="{FF2B5EF4-FFF2-40B4-BE49-F238E27FC236}">
              <a16:creationId xmlns:a16="http://schemas.microsoft.com/office/drawing/2014/main" id="{8E693A72-51EF-448D-93B2-A785C7E9097D}"/>
            </a:ext>
          </a:extLst>
        </xdr:cNvPr>
        <xdr:cNvCxnSpPr/>
      </xdr:nvCxnSpPr>
      <xdr:spPr>
        <a:xfrm>
          <a:off x="4549140" y="556260"/>
          <a:ext cx="7620" cy="18211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</xdr:colOff>
      <xdr:row>2</xdr:row>
      <xdr:rowOff>175260</xdr:rowOff>
    </xdr:from>
    <xdr:to>
      <xdr:col>17</xdr:col>
      <xdr:colOff>22860</xdr:colOff>
      <xdr:row>3</xdr:row>
      <xdr:rowOff>0</xdr:rowOff>
    </xdr:to>
    <xdr:cxnSp macro="">
      <xdr:nvCxnSpPr>
        <xdr:cNvPr id="18" name="Conector de Seta Reta 17">
          <a:extLst>
            <a:ext uri="{FF2B5EF4-FFF2-40B4-BE49-F238E27FC236}">
              <a16:creationId xmlns:a16="http://schemas.microsoft.com/office/drawing/2014/main" id="{FC3E7580-FEC5-4FE5-A694-05E40421E15B}"/>
            </a:ext>
          </a:extLst>
        </xdr:cNvPr>
        <xdr:cNvCxnSpPr/>
      </xdr:nvCxnSpPr>
      <xdr:spPr>
        <a:xfrm flipV="1">
          <a:off x="4503420" y="548640"/>
          <a:ext cx="18288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</xdr:colOff>
      <xdr:row>2</xdr:row>
      <xdr:rowOff>175260</xdr:rowOff>
    </xdr:from>
    <xdr:to>
      <xdr:col>21</xdr:col>
      <xdr:colOff>22860</xdr:colOff>
      <xdr:row>3</xdr:row>
      <xdr:rowOff>0</xdr:rowOff>
    </xdr:to>
    <xdr:cxnSp macro="">
      <xdr:nvCxnSpPr>
        <xdr:cNvPr id="19" name="Conector de Seta Reta 18">
          <a:extLst>
            <a:ext uri="{FF2B5EF4-FFF2-40B4-BE49-F238E27FC236}">
              <a16:creationId xmlns:a16="http://schemas.microsoft.com/office/drawing/2014/main" id="{076A120B-4B2A-4B57-ACBD-E2F584A079B6}"/>
            </a:ext>
          </a:extLst>
        </xdr:cNvPr>
        <xdr:cNvCxnSpPr/>
      </xdr:nvCxnSpPr>
      <xdr:spPr>
        <a:xfrm flipV="1">
          <a:off x="6065520" y="548640"/>
          <a:ext cx="13716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7620</xdr:colOff>
      <xdr:row>7</xdr:row>
      <xdr:rowOff>175260</xdr:rowOff>
    </xdr:from>
    <xdr:to>
      <xdr:col>21</xdr:col>
      <xdr:colOff>22860</xdr:colOff>
      <xdr:row>8</xdr:row>
      <xdr:rowOff>0</xdr:rowOff>
    </xdr:to>
    <xdr:cxnSp macro="">
      <xdr:nvCxnSpPr>
        <xdr:cNvPr id="20" name="Conector de Seta Reta 19">
          <a:extLst>
            <a:ext uri="{FF2B5EF4-FFF2-40B4-BE49-F238E27FC236}">
              <a16:creationId xmlns:a16="http://schemas.microsoft.com/office/drawing/2014/main" id="{92CB618A-8F24-496B-B1C1-7F7CDE654FE1}"/>
            </a:ext>
          </a:extLst>
        </xdr:cNvPr>
        <xdr:cNvCxnSpPr/>
      </xdr:nvCxnSpPr>
      <xdr:spPr>
        <a:xfrm flipV="1">
          <a:off x="7551420" y="548640"/>
          <a:ext cx="15240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30480</xdr:colOff>
      <xdr:row>2</xdr:row>
      <xdr:rowOff>167640</xdr:rowOff>
    </xdr:from>
    <xdr:to>
      <xdr:col>20</xdr:col>
      <xdr:colOff>45720</xdr:colOff>
      <xdr:row>8</xdr:row>
      <xdr:rowOff>0</xdr:rowOff>
    </xdr:to>
    <xdr:cxnSp macro="">
      <xdr:nvCxnSpPr>
        <xdr:cNvPr id="21" name="Conector reto 20">
          <a:extLst>
            <a:ext uri="{FF2B5EF4-FFF2-40B4-BE49-F238E27FC236}">
              <a16:creationId xmlns:a16="http://schemas.microsoft.com/office/drawing/2014/main" id="{63D2E204-9303-4426-A595-6D39F105888B}"/>
            </a:ext>
          </a:extLst>
        </xdr:cNvPr>
        <xdr:cNvCxnSpPr/>
      </xdr:nvCxnSpPr>
      <xdr:spPr>
        <a:xfrm>
          <a:off x="7574280" y="541020"/>
          <a:ext cx="15240" cy="9448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7620</xdr:colOff>
      <xdr:row>3</xdr:row>
      <xdr:rowOff>15240</xdr:rowOff>
    </xdr:from>
    <xdr:to>
      <xdr:col>25</xdr:col>
      <xdr:colOff>22860</xdr:colOff>
      <xdr:row>3</xdr:row>
      <xdr:rowOff>22860</xdr:rowOff>
    </xdr:to>
    <xdr:cxnSp macro="">
      <xdr:nvCxnSpPr>
        <xdr:cNvPr id="24" name="Conector de Seta Reta 23">
          <a:extLst>
            <a:ext uri="{FF2B5EF4-FFF2-40B4-BE49-F238E27FC236}">
              <a16:creationId xmlns:a16="http://schemas.microsoft.com/office/drawing/2014/main" id="{59609F63-092F-45E5-A2FA-FDDF8B92ED22}"/>
            </a:ext>
          </a:extLst>
        </xdr:cNvPr>
        <xdr:cNvCxnSpPr/>
      </xdr:nvCxnSpPr>
      <xdr:spPr>
        <a:xfrm flipV="1">
          <a:off x="8983980" y="571500"/>
          <a:ext cx="2362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0</xdr:colOff>
      <xdr:row>7</xdr:row>
      <xdr:rowOff>167640</xdr:rowOff>
    </xdr:from>
    <xdr:to>
      <xdr:col>25</xdr:col>
      <xdr:colOff>15240</xdr:colOff>
      <xdr:row>7</xdr:row>
      <xdr:rowOff>175260</xdr:rowOff>
    </xdr:to>
    <xdr:cxnSp macro="">
      <xdr:nvCxnSpPr>
        <xdr:cNvPr id="25" name="Conector de Seta Reta 24">
          <a:extLst>
            <a:ext uri="{FF2B5EF4-FFF2-40B4-BE49-F238E27FC236}">
              <a16:creationId xmlns:a16="http://schemas.microsoft.com/office/drawing/2014/main" id="{AD25151C-9E56-451D-BC02-148CBFA19916}"/>
            </a:ext>
          </a:extLst>
        </xdr:cNvPr>
        <xdr:cNvCxnSpPr/>
      </xdr:nvCxnSpPr>
      <xdr:spPr>
        <a:xfrm flipV="1">
          <a:off x="8976360" y="1470660"/>
          <a:ext cx="2362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121920</xdr:colOff>
      <xdr:row>3</xdr:row>
      <xdr:rowOff>0</xdr:rowOff>
    </xdr:from>
    <xdr:to>
      <xdr:col>24</xdr:col>
      <xdr:colOff>137160</xdr:colOff>
      <xdr:row>8</xdr:row>
      <xdr:rowOff>15240</xdr:rowOff>
    </xdr:to>
    <xdr:cxnSp macro="">
      <xdr:nvCxnSpPr>
        <xdr:cNvPr id="26" name="Conector reto 25">
          <a:extLst>
            <a:ext uri="{FF2B5EF4-FFF2-40B4-BE49-F238E27FC236}">
              <a16:creationId xmlns:a16="http://schemas.microsoft.com/office/drawing/2014/main" id="{A443BFB3-5645-4599-97EF-E6E816E16BA9}"/>
            </a:ext>
          </a:extLst>
        </xdr:cNvPr>
        <xdr:cNvCxnSpPr/>
      </xdr:nvCxnSpPr>
      <xdr:spPr>
        <a:xfrm>
          <a:off x="9098280" y="556260"/>
          <a:ext cx="15240" cy="94488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7620</xdr:colOff>
      <xdr:row>3</xdr:row>
      <xdr:rowOff>15240</xdr:rowOff>
    </xdr:from>
    <xdr:to>
      <xdr:col>29</xdr:col>
      <xdr:colOff>22860</xdr:colOff>
      <xdr:row>3</xdr:row>
      <xdr:rowOff>22860</xdr:rowOff>
    </xdr:to>
    <xdr:cxnSp macro="">
      <xdr:nvCxnSpPr>
        <xdr:cNvPr id="27" name="Conector de Seta Reta 26">
          <a:extLst>
            <a:ext uri="{FF2B5EF4-FFF2-40B4-BE49-F238E27FC236}">
              <a16:creationId xmlns:a16="http://schemas.microsoft.com/office/drawing/2014/main" id="{F6D44EB6-E4D9-4E56-91FA-990887D9CA89}"/>
            </a:ext>
          </a:extLst>
        </xdr:cNvPr>
        <xdr:cNvCxnSpPr/>
      </xdr:nvCxnSpPr>
      <xdr:spPr>
        <a:xfrm flipV="1">
          <a:off x="8983980" y="571500"/>
          <a:ext cx="2362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7620</xdr:colOff>
      <xdr:row>3</xdr:row>
      <xdr:rowOff>15240</xdr:rowOff>
    </xdr:from>
    <xdr:to>
      <xdr:col>33</xdr:col>
      <xdr:colOff>22860</xdr:colOff>
      <xdr:row>3</xdr:row>
      <xdr:rowOff>22860</xdr:rowOff>
    </xdr:to>
    <xdr:cxnSp macro="">
      <xdr:nvCxnSpPr>
        <xdr:cNvPr id="28" name="Conector de Seta Reta 27">
          <a:extLst>
            <a:ext uri="{FF2B5EF4-FFF2-40B4-BE49-F238E27FC236}">
              <a16:creationId xmlns:a16="http://schemas.microsoft.com/office/drawing/2014/main" id="{7AA783D2-B562-4E82-893F-83FD2F2027B5}"/>
            </a:ext>
          </a:extLst>
        </xdr:cNvPr>
        <xdr:cNvCxnSpPr/>
      </xdr:nvCxnSpPr>
      <xdr:spPr>
        <a:xfrm flipV="1">
          <a:off x="10523220" y="571500"/>
          <a:ext cx="236220" cy="76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586740</xdr:colOff>
      <xdr:row>1</xdr:row>
      <xdr:rowOff>7620</xdr:rowOff>
    </xdr:from>
    <xdr:to>
      <xdr:col>19</xdr:col>
      <xdr:colOff>542054</xdr:colOff>
      <xdr:row>15</xdr:row>
      <xdr:rowOff>158852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B38C005-2FCF-4FA3-B032-AE1E50664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0780" y="190500"/>
          <a:ext cx="6051314" cy="27115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DEA62-B843-4CB2-916A-662367A8C645}">
  <dimension ref="A1:AJ21"/>
  <sheetViews>
    <sheetView tabSelected="1" workbookViewId="0"/>
  </sheetViews>
  <sheetFormatPr defaultRowHeight="14.4" x14ac:dyDescent="0.3"/>
  <cols>
    <col min="1" max="1" width="4.88671875" bestFit="1" customWidth="1"/>
    <col min="2" max="2" width="5.6640625" customWidth="1"/>
    <col min="3" max="3" width="8.44140625" bestFit="1" customWidth="1"/>
    <col min="4" max="4" width="6" customWidth="1"/>
    <col min="5" max="5" width="2.5546875" customWidth="1"/>
    <col min="6" max="6" width="4.88671875" customWidth="1"/>
    <col min="7" max="7" width="8.77734375" customWidth="1"/>
    <col min="8" max="8" width="5" customWidth="1"/>
    <col min="9" max="9" width="1.77734375" customWidth="1"/>
    <col min="10" max="10" width="4.44140625" customWidth="1"/>
    <col min="11" max="11" width="7.33203125" customWidth="1"/>
    <col min="12" max="12" width="5.77734375" customWidth="1"/>
    <col min="13" max="13" width="2.44140625" customWidth="1"/>
    <col min="14" max="14" width="4.88671875" customWidth="1"/>
    <col min="15" max="15" width="11" customWidth="1"/>
    <col min="16" max="16" width="4.44140625" customWidth="1"/>
    <col min="17" max="17" width="1.77734375" customWidth="1"/>
    <col min="18" max="18" width="5.109375" customWidth="1"/>
    <col min="19" max="19" width="8.77734375" customWidth="1"/>
    <col min="20" max="20" width="6" customWidth="1"/>
    <col min="21" max="21" width="2" customWidth="1"/>
    <col min="22" max="22" width="5.33203125" customWidth="1"/>
    <col min="23" max="23" width="8.21875" customWidth="1"/>
    <col min="24" max="24" width="5.33203125" customWidth="1"/>
    <col min="25" max="25" width="3.21875" customWidth="1"/>
    <col min="26" max="26" width="5.5546875" customWidth="1"/>
    <col min="27" max="27" width="8.88671875" customWidth="1"/>
    <col min="28" max="28" width="4.77734375" customWidth="1"/>
    <col min="29" max="29" width="2.44140625" customWidth="1"/>
    <col min="30" max="30" width="5.6640625" customWidth="1"/>
    <col min="31" max="31" width="7.77734375" customWidth="1"/>
    <col min="32" max="32" width="5.33203125" customWidth="1"/>
    <col min="33" max="33" width="2.44140625" customWidth="1"/>
    <col min="34" max="34" width="5.21875" customWidth="1"/>
    <col min="36" max="36" width="4.77734375" customWidth="1"/>
  </cols>
  <sheetData>
    <row r="1" spans="1:36" ht="15" thickBot="1" x14ac:dyDescent="0.35">
      <c r="A1" s="6" t="s">
        <v>2</v>
      </c>
    </row>
    <row r="2" spans="1:36" x14ac:dyDescent="0.3">
      <c r="B2" s="1">
        <v>0</v>
      </c>
      <c r="C2" s="7" t="s">
        <v>3</v>
      </c>
      <c r="D2" s="2">
        <f>B2+D5</f>
        <v>1</v>
      </c>
      <c r="F2" s="1">
        <f>D2</f>
        <v>1</v>
      </c>
      <c r="G2" s="7" t="s">
        <v>14</v>
      </c>
      <c r="H2" s="2">
        <f>F2+H5</f>
        <v>3</v>
      </c>
      <c r="J2" s="1">
        <v>3</v>
      </c>
      <c r="K2" s="10" t="s">
        <v>28</v>
      </c>
      <c r="L2" s="2">
        <f>J2+L5</f>
        <v>4</v>
      </c>
      <c r="N2" s="1">
        <f>L2</f>
        <v>4</v>
      </c>
      <c r="O2" s="10" t="s">
        <v>31</v>
      </c>
      <c r="P2" s="2">
        <f>N2+P5</f>
        <v>5</v>
      </c>
      <c r="R2" s="1">
        <f>P2</f>
        <v>5</v>
      </c>
      <c r="S2" s="10" t="s">
        <v>32</v>
      </c>
      <c r="T2" s="2">
        <f>R2+T5</f>
        <v>7</v>
      </c>
      <c r="V2" s="1">
        <f>T2</f>
        <v>7</v>
      </c>
      <c r="W2" s="10" t="s">
        <v>34</v>
      </c>
      <c r="X2" s="2">
        <f>V2+X5</f>
        <v>8</v>
      </c>
      <c r="Z2" s="1">
        <f>X7</f>
        <v>9</v>
      </c>
      <c r="AA2" s="10" t="s">
        <v>41</v>
      </c>
      <c r="AB2" s="2">
        <f>Z2+AB5</f>
        <v>10</v>
      </c>
      <c r="AD2" s="1">
        <f>AB2</f>
        <v>10</v>
      </c>
      <c r="AE2" s="10" t="s">
        <v>44</v>
      </c>
      <c r="AF2" s="2">
        <f>AD2+AF5</f>
        <v>11</v>
      </c>
      <c r="AH2" s="1">
        <f>AF2</f>
        <v>11</v>
      </c>
      <c r="AI2" s="10" t="s">
        <v>47</v>
      </c>
      <c r="AJ2" s="12">
        <f>AH2+AJ5</f>
        <v>13</v>
      </c>
    </row>
    <row r="3" spans="1:36" x14ac:dyDescent="0.3">
      <c r="B3" s="13" t="s">
        <v>0</v>
      </c>
      <c r="C3" s="14"/>
      <c r="D3" s="15"/>
      <c r="F3" s="13" t="s">
        <v>12</v>
      </c>
      <c r="G3" s="14"/>
      <c r="H3" s="15"/>
      <c r="J3" s="13" t="s">
        <v>25</v>
      </c>
      <c r="K3" s="14"/>
      <c r="L3" s="15"/>
      <c r="N3" s="13" t="s">
        <v>30</v>
      </c>
      <c r="O3" s="14"/>
      <c r="P3" s="15"/>
      <c r="R3" s="13" t="s">
        <v>33</v>
      </c>
      <c r="S3" s="14"/>
      <c r="T3" s="15"/>
      <c r="V3" s="13" t="s">
        <v>35</v>
      </c>
      <c r="W3" s="14"/>
      <c r="X3" s="15"/>
      <c r="Z3" s="13" t="s">
        <v>40</v>
      </c>
      <c r="AA3" s="14"/>
      <c r="AB3" s="15"/>
      <c r="AD3" s="13" t="s">
        <v>42</v>
      </c>
      <c r="AE3" s="14"/>
      <c r="AF3" s="15"/>
      <c r="AH3" s="13" t="s">
        <v>46</v>
      </c>
      <c r="AI3" s="14"/>
      <c r="AJ3" s="15"/>
    </row>
    <row r="4" spans="1:36" x14ac:dyDescent="0.3">
      <c r="B4" s="16"/>
      <c r="C4" s="17"/>
      <c r="D4" s="18"/>
      <c r="F4" s="16"/>
      <c r="G4" s="17"/>
      <c r="H4" s="18"/>
      <c r="J4" s="16"/>
      <c r="K4" s="17"/>
      <c r="L4" s="18"/>
      <c r="N4" s="16"/>
      <c r="O4" s="17"/>
      <c r="P4" s="18"/>
      <c r="R4" s="16"/>
      <c r="S4" s="17"/>
      <c r="T4" s="18"/>
      <c r="V4" s="16"/>
      <c r="W4" s="17"/>
      <c r="X4" s="18"/>
      <c r="Z4" s="16"/>
      <c r="AA4" s="17"/>
      <c r="AB4" s="18"/>
      <c r="AD4" s="16"/>
      <c r="AE4" s="17"/>
      <c r="AF4" s="18"/>
      <c r="AH4" s="16"/>
      <c r="AI4" s="17"/>
      <c r="AJ4" s="18"/>
    </row>
    <row r="5" spans="1:36" ht="15" thickBot="1" x14ac:dyDescent="0.35">
      <c r="B5" s="3">
        <v>1</v>
      </c>
      <c r="C5" s="4" t="s">
        <v>1</v>
      </c>
      <c r="D5" s="5">
        <v>1</v>
      </c>
      <c r="F5" s="3">
        <v>2</v>
      </c>
      <c r="G5" s="4" t="s">
        <v>13</v>
      </c>
      <c r="H5" s="5">
        <v>2</v>
      </c>
      <c r="J5" s="3">
        <v>5</v>
      </c>
      <c r="K5" s="4" t="s">
        <v>13</v>
      </c>
      <c r="L5" s="5">
        <v>1</v>
      </c>
      <c r="N5" s="3">
        <v>6</v>
      </c>
      <c r="O5" s="4" t="s">
        <v>1</v>
      </c>
      <c r="P5" s="5">
        <v>1</v>
      </c>
      <c r="R5" s="3">
        <v>7</v>
      </c>
      <c r="S5" s="4" t="s">
        <v>1</v>
      </c>
      <c r="T5" s="5">
        <v>2</v>
      </c>
      <c r="V5" s="3">
        <v>8</v>
      </c>
      <c r="W5" s="4" t="s">
        <v>36</v>
      </c>
      <c r="X5" s="5">
        <v>1</v>
      </c>
      <c r="Z5" s="3">
        <v>10</v>
      </c>
      <c r="AA5" s="4" t="s">
        <v>1</v>
      </c>
      <c r="AB5" s="5">
        <v>1</v>
      </c>
      <c r="AD5" s="3">
        <v>11</v>
      </c>
      <c r="AE5" s="4" t="s">
        <v>43</v>
      </c>
      <c r="AF5" s="5">
        <v>1</v>
      </c>
      <c r="AH5" s="3">
        <v>12</v>
      </c>
      <c r="AI5" s="4" t="s">
        <v>45</v>
      </c>
      <c r="AJ5" s="5">
        <v>2</v>
      </c>
    </row>
    <row r="6" spans="1:36" ht="15" thickBot="1" x14ac:dyDescent="0.35"/>
    <row r="7" spans="1:36" x14ac:dyDescent="0.3">
      <c r="F7" s="1">
        <f>D2</f>
        <v>1</v>
      </c>
      <c r="G7" s="10" t="s">
        <v>16</v>
      </c>
      <c r="H7" s="2">
        <f>F7+H10</f>
        <v>4</v>
      </c>
      <c r="V7" s="1">
        <f>T2</f>
        <v>7</v>
      </c>
      <c r="W7" s="10" t="s">
        <v>39</v>
      </c>
      <c r="X7" s="2">
        <f>V7+X10</f>
        <v>9</v>
      </c>
    </row>
    <row r="8" spans="1:36" x14ac:dyDescent="0.3">
      <c r="F8" s="13" t="s">
        <v>15</v>
      </c>
      <c r="G8" s="14"/>
      <c r="H8" s="15"/>
      <c r="V8" s="13" t="s">
        <v>37</v>
      </c>
      <c r="W8" s="14"/>
      <c r="X8" s="15"/>
    </row>
    <row r="9" spans="1:36" x14ac:dyDescent="0.3">
      <c r="F9" s="16"/>
      <c r="G9" s="17"/>
      <c r="H9" s="18"/>
      <c r="V9" s="16"/>
      <c r="W9" s="17"/>
      <c r="X9" s="18"/>
    </row>
    <row r="10" spans="1:36" ht="15" thickBot="1" x14ac:dyDescent="0.35">
      <c r="B10" s="11" t="s">
        <v>26</v>
      </c>
      <c r="F10" s="3">
        <v>3</v>
      </c>
      <c r="G10" s="4" t="s">
        <v>1</v>
      </c>
      <c r="H10" s="5">
        <v>3</v>
      </c>
      <c r="V10" s="3">
        <v>9</v>
      </c>
      <c r="W10" s="4" t="s">
        <v>38</v>
      </c>
      <c r="X10" s="5">
        <v>2</v>
      </c>
    </row>
    <row r="11" spans="1:36" ht="15" thickBot="1" x14ac:dyDescent="0.35">
      <c r="B11" s="11" t="s">
        <v>27</v>
      </c>
    </row>
    <row r="12" spans="1:36" x14ac:dyDescent="0.3">
      <c r="F12" s="1">
        <f>D2</f>
        <v>1</v>
      </c>
      <c r="G12" s="10" t="s">
        <v>24</v>
      </c>
      <c r="H12" s="2">
        <f>F12+H15</f>
        <v>2</v>
      </c>
    </row>
    <row r="13" spans="1:36" x14ac:dyDescent="0.3">
      <c r="F13" s="13" t="s">
        <v>22</v>
      </c>
      <c r="G13" s="14"/>
      <c r="H13" s="15"/>
    </row>
    <row r="14" spans="1:36" x14ac:dyDescent="0.3">
      <c r="F14" s="16"/>
      <c r="G14" s="17"/>
      <c r="H14" s="18"/>
    </row>
    <row r="15" spans="1:36" ht="15" thickBot="1" x14ac:dyDescent="0.35">
      <c r="F15" s="3">
        <v>4</v>
      </c>
      <c r="G15" s="4" t="s">
        <v>23</v>
      </c>
      <c r="H15" s="5">
        <v>1</v>
      </c>
    </row>
    <row r="17" spans="10:10" x14ac:dyDescent="0.3">
      <c r="J17" t="s">
        <v>17</v>
      </c>
    </row>
    <row r="18" spans="10:10" x14ac:dyDescent="0.3">
      <c r="J18" t="s">
        <v>18</v>
      </c>
    </row>
    <row r="19" spans="10:10" x14ac:dyDescent="0.3">
      <c r="J19" t="s">
        <v>19</v>
      </c>
    </row>
    <row r="20" spans="10:10" x14ac:dyDescent="0.3">
      <c r="J20" t="s">
        <v>20</v>
      </c>
    </row>
    <row r="21" spans="10:10" x14ac:dyDescent="0.3">
      <c r="J21" t="s">
        <v>21</v>
      </c>
    </row>
  </sheetData>
  <mergeCells count="12">
    <mergeCell ref="B3:D4"/>
    <mergeCell ref="F3:H4"/>
    <mergeCell ref="F8:H9"/>
    <mergeCell ref="F13:H14"/>
    <mergeCell ref="J3:L4"/>
    <mergeCell ref="AH3:AJ4"/>
    <mergeCell ref="N3:P4"/>
    <mergeCell ref="R3:T4"/>
    <mergeCell ref="V3:X4"/>
    <mergeCell ref="V8:X9"/>
    <mergeCell ref="Z3:AB4"/>
    <mergeCell ref="AD3:AF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D59EF-5CEA-4F14-9DB7-51E05D7D920B}">
  <dimension ref="A1:H17"/>
  <sheetViews>
    <sheetView workbookViewId="0"/>
  </sheetViews>
  <sheetFormatPr defaultRowHeight="14.4" x14ac:dyDescent="0.3"/>
  <cols>
    <col min="1" max="1" width="4.88671875" bestFit="1" customWidth="1"/>
    <col min="2" max="2" width="6.109375" bestFit="1" customWidth="1"/>
    <col min="3" max="3" width="7.88671875" bestFit="1" customWidth="1"/>
    <col min="4" max="4" width="11.6640625" customWidth="1"/>
    <col min="5" max="6" width="10.33203125" bestFit="1" customWidth="1"/>
    <col min="7" max="7" width="12.109375" bestFit="1" customWidth="1"/>
    <col min="8" max="8" width="11.88671875" bestFit="1" customWidth="1"/>
  </cols>
  <sheetData>
    <row r="1" spans="1:8" x14ac:dyDescent="0.3">
      <c r="A1" s="6" t="s">
        <v>2</v>
      </c>
    </row>
    <row r="2" spans="1:8" x14ac:dyDescent="0.3">
      <c r="B2" s="6" t="s">
        <v>4</v>
      </c>
      <c r="C2" s="6" t="s">
        <v>5</v>
      </c>
      <c r="D2" s="6" t="s">
        <v>6</v>
      </c>
      <c r="E2" s="6" t="s">
        <v>10</v>
      </c>
      <c r="F2" s="6" t="s">
        <v>7</v>
      </c>
      <c r="G2" s="6" t="s">
        <v>8</v>
      </c>
      <c r="H2" s="6" t="s">
        <v>9</v>
      </c>
    </row>
    <row r="3" spans="1:8" x14ac:dyDescent="0.3">
      <c r="B3" s="6">
        <v>1</v>
      </c>
      <c r="C3">
        <v>1</v>
      </c>
      <c r="D3" t="s">
        <v>1</v>
      </c>
      <c r="E3" s="8">
        <v>20</v>
      </c>
      <c r="F3" s="8">
        <f>C3*8*E3</f>
        <v>160</v>
      </c>
      <c r="G3" s="8">
        <v>0</v>
      </c>
      <c r="H3" s="9">
        <f t="shared" ref="H3:H10" si="0">F3+G3</f>
        <v>160</v>
      </c>
    </row>
    <row r="4" spans="1:8" x14ac:dyDescent="0.3">
      <c r="B4" s="6">
        <v>2</v>
      </c>
      <c r="C4">
        <v>2</v>
      </c>
      <c r="D4" t="s">
        <v>13</v>
      </c>
      <c r="E4" s="8">
        <v>40</v>
      </c>
      <c r="F4" s="8">
        <f>C4*8*E4</f>
        <v>640</v>
      </c>
      <c r="G4" s="8">
        <v>0</v>
      </c>
      <c r="H4" s="9">
        <f t="shared" si="0"/>
        <v>640</v>
      </c>
    </row>
    <row r="5" spans="1:8" x14ac:dyDescent="0.3">
      <c r="B5" s="6">
        <v>3</v>
      </c>
      <c r="C5">
        <v>3</v>
      </c>
      <c r="D5" t="s">
        <v>1</v>
      </c>
      <c r="E5" s="8">
        <v>20</v>
      </c>
      <c r="F5" s="8">
        <f>3*8*E5</f>
        <v>480</v>
      </c>
      <c r="G5" s="8">
        <v>0</v>
      </c>
      <c r="H5" s="9">
        <f t="shared" si="0"/>
        <v>480</v>
      </c>
    </row>
    <row r="6" spans="1:8" x14ac:dyDescent="0.3">
      <c r="B6" s="6">
        <v>4</v>
      </c>
      <c r="C6">
        <v>1</v>
      </c>
      <c r="D6" t="s">
        <v>23</v>
      </c>
      <c r="E6" s="8">
        <f>480/8</f>
        <v>60</v>
      </c>
      <c r="F6" s="8">
        <f>1*8*E6</f>
        <v>480</v>
      </c>
      <c r="G6" s="8">
        <v>0</v>
      </c>
      <c r="H6" s="9">
        <f t="shared" si="0"/>
        <v>480</v>
      </c>
    </row>
    <row r="7" spans="1:8" x14ac:dyDescent="0.3">
      <c r="B7" s="6">
        <v>5</v>
      </c>
      <c r="C7">
        <v>1</v>
      </c>
      <c r="D7" t="s">
        <v>29</v>
      </c>
      <c r="E7" s="8">
        <v>40</v>
      </c>
      <c r="F7" s="8">
        <f>C7*8*E7</f>
        <v>320</v>
      </c>
      <c r="G7" s="8">
        <v>0</v>
      </c>
      <c r="H7" s="9">
        <f t="shared" si="0"/>
        <v>320</v>
      </c>
    </row>
    <row r="8" spans="1:8" x14ac:dyDescent="0.3">
      <c r="B8" s="6">
        <v>6</v>
      </c>
      <c r="C8">
        <v>1</v>
      </c>
      <c r="D8" t="s">
        <v>1</v>
      </c>
      <c r="E8" s="8">
        <v>20</v>
      </c>
      <c r="F8" s="8">
        <f>1*8*E8</f>
        <v>160</v>
      </c>
      <c r="G8" s="8">
        <v>0</v>
      </c>
      <c r="H8" s="9">
        <f t="shared" si="0"/>
        <v>160</v>
      </c>
    </row>
    <row r="9" spans="1:8" x14ac:dyDescent="0.3">
      <c r="B9" s="6">
        <v>7</v>
      </c>
      <c r="C9">
        <v>2</v>
      </c>
      <c r="D9" t="s">
        <v>1</v>
      </c>
      <c r="E9" s="8">
        <v>20</v>
      </c>
      <c r="F9" s="8">
        <f>2*8*E9</f>
        <v>320</v>
      </c>
      <c r="G9" s="8">
        <f>100*20</f>
        <v>2000</v>
      </c>
      <c r="H9" s="9">
        <f t="shared" si="0"/>
        <v>2320</v>
      </c>
    </row>
    <row r="10" spans="1:8" x14ac:dyDescent="0.3">
      <c r="B10" s="6">
        <v>8</v>
      </c>
      <c r="C10">
        <v>1</v>
      </c>
      <c r="D10" t="s">
        <v>36</v>
      </c>
      <c r="E10" s="8">
        <v>90</v>
      </c>
      <c r="F10" s="8">
        <f>C10*8*E10</f>
        <v>720</v>
      </c>
      <c r="G10" s="8">
        <v>0</v>
      </c>
      <c r="H10" s="9">
        <f t="shared" si="0"/>
        <v>720</v>
      </c>
    </row>
    <row r="11" spans="1:8" x14ac:dyDescent="0.3">
      <c r="B11" s="6">
        <v>9</v>
      </c>
    </row>
    <row r="12" spans="1:8" x14ac:dyDescent="0.3">
      <c r="B12" s="6">
        <v>10</v>
      </c>
    </row>
    <row r="13" spans="1:8" x14ac:dyDescent="0.3">
      <c r="B13" s="6">
        <v>11</v>
      </c>
    </row>
    <row r="14" spans="1:8" x14ac:dyDescent="0.3">
      <c r="B14" s="6">
        <v>12</v>
      </c>
    </row>
    <row r="17" spans="2:2" x14ac:dyDescent="0.3">
      <c r="B17" s="11" t="s">
        <v>11</v>
      </c>
    </row>
  </sheetData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4962B415CA2F41B03BD5FDD7749FE8" ma:contentTypeVersion="0" ma:contentTypeDescription="Crie um novo documento." ma:contentTypeScope="" ma:versionID="70085195a6c98fc3f67c2eaf1b3764c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74c6ccb71ee63fbc30cff3237551ec3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201398C-CE59-4129-A2D0-2590A09066B4}"/>
</file>

<file path=customXml/itemProps2.xml><?xml version="1.0" encoding="utf-8"?>
<ds:datastoreItem xmlns:ds="http://schemas.openxmlformats.org/officeDocument/2006/customXml" ds:itemID="{AC1AED64-C149-40FB-AE36-0D97F6811746}"/>
</file>

<file path=customXml/itemProps3.xml><?xml version="1.0" encoding="utf-8"?>
<ds:datastoreItem xmlns:ds="http://schemas.openxmlformats.org/officeDocument/2006/customXml" ds:itemID="{91E747B1-21FE-489C-8778-76BCDA9A4F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DR</vt:lpstr>
      <vt:lpstr>Custo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Parecerista</dc:creator>
  <cp:lastModifiedBy>Parecerista</cp:lastModifiedBy>
  <dcterms:created xsi:type="dcterms:W3CDTF">2025-09-05T12:02:44Z</dcterms:created>
  <dcterms:modified xsi:type="dcterms:W3CDTF">2025-09-05T13:44:38Z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0x010100CA4962B415CA2F41B03BD5FDD7749FE8</vt:lpwstr>
  </property>
</Properties>
</file>