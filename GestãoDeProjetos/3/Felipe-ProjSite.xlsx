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3\"/>
    </mc:Choice>
  </mc:AlternateContent>
  <xr:revisionPtr revIDLastSave="0" documentId="13_ncr:1_{1D428CB8-8CB7-4B43-903F-031C30330B12}" xr6:coauthVersionLast="47" xr6:coauthVersionMax="47" xr10:uidLastSave="{00000000-0000-0000-0000-000000000000}"/>
  <bookViews>
    <workbookView xWindow="-120" yWindow="-120" windowWidth="20640" windowHeight="11760" xr2:uid="{580E0A21-5531-4EFD-9B6C-63F1F099FA08}"/>
  </bookViews>
  <sheets>
    <sheet name="Diagrama de atividades" sheetId="1" r:id="rId1"/>
    <sheet name="Gráfico de 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AE1" i="1"/>
  <c r="J4" i="1"/>
  <c r="C23" i="1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G1" i="1"/>
  <c r="I11" i="1"/>
  <c r="AH1" i="1"/>
  <c r="AD1" i="1"/>
  <c r="V6" i="1"/>
  <c r="V1" i="1"/>
  <c r="J11" i="1"/>
  <c r="J16" i="1"/>
  <c r="J1" i="1"/>
  <c r="Z1" i="1"/>
  <c r="R1" i="1"/>
  <c r="J6" i="1"/>
  <c r="N1" i="1"/>
  <c r="F1" i="1"/>
  <c r="C11" i="1"/>
  <c r="V9" i="1" s="1"/>
  <c r="C12" i="1"/>
  <c r="AD4" i="1" s="1"/>
  <c r="C9" i="1"/>
  <c r="J14" i="1" s="1"/>
  <c r="AH4" i="1"/>
  <c r="Z4" i="1"/>
  <c r="V4" i="1"/>
  <c r="R4" i="1"/>
  <c r="N4" i="1"/>
  <c r="J19" i="1"/>
  <c r="J9" i="1"/>
  <c r="F4" i="1"/>
  <c r="K1" i="1" l="1"/>
  <c r="K16" i="1" s="1"/>
  <c r="K6" i="1"/>
  <c r="O1" i="1" s="1"/>
  <c r="S1" i="1" s="1"/>
  <c r="U6" i="1" s="1"/>
  <c r="I1" i="1"/>
  <c r="K11" i="1"/>
  <c r="I6" i="1"/>
  <c r="I16" i="1"/>
  <c r="W6" i="1" l="1"/>
  <c r="AA1" i="1" s="1"/>
  <c r="U1" i="1"/>
  <c r="M1" i="1"/>
  <c r="Q1" i="1"/>
  <c r="W1" i="1"/>
  <c r="Y1" i="1" l="1"/>
  <c r="AC1" i="1"/>
  <c r="AG1" i="1" l="1"/>
  <c r="AI1" i="1"/>
  <c r="C3" i="1" a="1"/>
  <c r="C3" i="1" l="1"/>
  <c r="C22" i="1" s="1"/>
  <c r="B17" i="2" l="1"/>
  <c r="B19" i="2" l="1"/>
  <c r="B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<sst xmlns="http://schemas.openxmlformats.org/spreadsheetml/2006/main" count="52" uniqueCount="35">
  <si>
    <t>Giordano</t>
  </si>
  <si>
    <t>Reunião com cliente</t>
  </si>
  <si>
    <t>Bonetti</t>
  </si>
  <si>
    <t>Pesquisa em associações</t>
  </si>
  <si>
    <t>Pesquisa na Internet</t>
  </si>
  <si>
    <t>Denise</t>
  </si>
  <si>
    <t>Pesquisa em casos reais</t>
  </si>
  <si>
    <t>Pesquisa com os Gestores</t>
  </si>
  <si>
    <t>Consolidação das pesquisas</t>
  </si>
  <si>
    <t>Edson</t>
  </si>
  <si>
    <t>Eliseu</t>
  </si>
  <si>
    <t>Testador 2</t>
  </si>
  <si>
    <t>Testador 1</t>
  </si>
  <si>
    <t>Revisão final</t>
  </si>
  <si>
    <t>Alex</t>
  </si>
  <si>
    <t>Entrega e homologação</t>
  </si>
  <si>
    <t>Loiola</t>
  </si>
  <si>
    <t>Encerramento administrativo</t>
  </si>
  <si>
    <t>R$ por hora</t>
  </si>
  <si>
    <t>Nome</t>
  </si>
  <si>
    <t>Custo total do projeto</t>
  </si>
  <si>
    <t>CUSTO MÃO DE OBRA</t>
  </si>
  <si>
    <t>MATERIAIS E EQUIPAMENTOS</t>
  </si>
  <si>
    <t>Valor R$</t>
  </si>
  <si>
    <t>Pagamentos a associações</t>
  </si>
  <si>
    <t>TOTAL</t>
  </si>
  <si>
    <t>TRABALHO NA EMPRESA</t>
  </si>
  <si>
    <t>Horas por dia</t>
  </si>
  <si>
    <t>Duração em dias corridos</t>
  </si>
  <si>
    <t xml:space="preserve">Horas computacionais </t>
  </si>
  <si>
    <t>Elaborar do site</t>
  </si>
  <si>
    <t>TAREFA / DIA</t>
  </si>
  <si>
    <t>Duração em dias utéis</t>
  </si>
  <si>
    <t>Horas</t>
  </si>
  <si>
    <t>Quantidade dias folga (sab + 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</si>
</sst>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3" formatCode="_-* #,##0.00_-;\-* #,##0.00_-;_-* &quot;-&quot;??_-;_-@_-"/>
    <numFmt numFmtId="164" formatCode="_-[$R$-416]\ * #,##0.00_-;\-[$R$-416]\ * #,##0.00_-;_-[$R$-416]\ 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i/>
      <sz val="12"/>
      <color theme="1"/>
      <name val="Cambria"/>
      <family val="1"/>
    </font>
    <font>
      <b/>
      <sz val="12"/>
      <color theme="1"/>
      <name val="Bell MT"/>
      <family val="1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4"/>
      <color theme="1"/>
      <name val="Bell MT"/>
      <family val="1"/>
    </font>
    <font>
      <b/>
      <sz val="12.4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i/>
      <sz val="11"/>
      <color theme="1"/>
      <name val="Aptos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8" fontId="2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7" fillId="0" borderId="1" xfId="0" applyFont="1" applyBorder="1" applyAlignment="1">
      <alignment horizontal="center" vertical="center"/>
    </xf>
    <xf numFmtId="8" fontId="9" fillId="0" borderId="0" xfId="0" applyNumberFormat="1" applyFont="1" applyBorder="1"/>
    <xf numFmtId="0" fontId="0" fillId="0" borderId="9" xfId="0" applyBorder="1"/>
    <xf numFmtId="0" fontId="0" fillId="2" borderId="9" xfId="0" applyFill="1" applyBorder="1"/>
    <xf numFmtId="0" fontId="0" fillId="4" borderId="9" xfId="0" applyFill="1" applyBorder="1"/>
    <xf numFmtId="0" fontId="0" fillId="0" borderId="10" xfId="0" applyBorder="1"/>
    <xf numFmtId="0" fontId="0" fillId="2" borderId="10" xfId="0" applyFill="1" applyBorder="1"/>
    <xf numFmtId="0" fontId="0" fillId="3" borderId="11" xfId="0" applyFill="1" applyBorder="1"/>
    <xf numFmtId="0" fontId="0" fillId="4" borderId="10" xfId="0" applyFill="1" applyBorder="1"/>
    <xf numFmtId="0" fontId="2" fillId="2" borderId="12" xfId="0" applyFont="1" applyFill="1" applyBorder="1"/>
    <xf numFmtId="0" fontId="0" fillId="0" borderId="13" xfId="0" applyBorder="1"/>
    <xf numFmtId="0" fontId="0" fillId="3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3" borderId="22" xfId="0" applyFill="1" applyBorder="1"/>
    <xf numFmtId="0" fontId="0" fillId="0" borderId="23" xfId="0" applyBorder="1"/>
    <xf numFmtId="0" fontId="0" fillId="2" borderId="20" xfId="0" applyFill="1" applyBorder="1"/>
    <xf numFmtId="0" fontId="0" fillId="2" borderId="24" xfId="0" applyFill="1" applyBorder="1"/>
    <xf numFmtId="0" fontId="8" fillId="0" borderId="0" xfId="0" applyFont="1" applyBorder="1" applyAlignment="1">
      <alignment horizontal="center"/>
    </xf>
    <xf numFmtId="0" fontId="9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8" fontId="13" fillId="0" borderId="0" xfId="0" applyNumberFormat="1" applyFont="1" applyBorder="1"/>
    <xf numFmtId="0" fontId="1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8" fontId="11" fillId="0" borderId="8" xfId="0" applyNumberFormat="1" applyFont="1" applyBorder="1" applyAlignment="1">
      <alignment horizontal="center"/>
    </xf>
    <xf numFmtId="8" fontId="10" fillId="0" borderId="8" xfId="0" applyNumberFormat="1" applyFont="1" applyBorder="1" applyAlignment="1">
      <alignment horizontal="center"/>
    </xf>
    <xf numFmtId="8" fontId="10" fillId="0" borderId="7" xfId="0" applyNumberFormat="1" applyFont="1" applyBorder="1" applyAlignment="1">
      <alignment horizontal="center"/>
    </xf>
    <xf numFmtId="0" fontId="10" fillId="0" borderId="1" xfId="1" applyNumberFormat="1" applyFont="1" applyBorder="1" applyAlignment="1">
      <alignment horizontal="center"/>
    </xf>
    <xf numFmtId="8" fontId="14" fillId="0" borderId="8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NumberFormat="1"/>
    <xf numFmtId="0" fontId="7" fillId="0" borderId="5" xfId="0" applyFont="1" applyBorder="1" applyAlignment="1">
      <alignment vertical="center"/>
    </xf>
    <xf numFmtId="0" fontId="5" fillId="0" borderId="5" xfId="0" applyFont="1" applyBorder="1" applyAlignment="1"/>
    <xf numFmtId="8" fontId="10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14" fontId="16" fillId="0" borderId="6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29" xfId="0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156882</xdr:rowOff>
    </xdr:from>
    <xdr:to>
      <xdr:col>8</xdr:col>
      <xdr:colOff>44823</xdr:colOff>
      <xdr:row>1</xdr:row>
      <xdr:rowOff>156882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2E39E39C-F127-A18E-1B4B-5724BDECA0E6}"/>
            </a:ext>
          </a:extLst>
        </xdr:cNvPr>
        <xdr:cNvCxnSpPr/>
      </xdr:nvCxnSpPr>
      <xdr:spPr>
        <a:xfrm>
          <a:off x="2723029" y="347382"/>
          <a:ext cx="201706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67236</xdr:colOff>
      <xdr:row>7</xdr:row>
      <xdr:rowOff>0</xdr:rowOff>
    </xdr:from>
    <xdr:to>
      <xdr:col>8</xdr:col>
      <xdr:colOff>44823</xdr:colOff>
      <xdr:row>7</xdr:row>
      <xdr:rowOff>11206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EE22120F-BBB9-49E7-90C5-27E77F1AB1A6}"/>
            </a:ext>
          </a:extLst>
        </xdr:cNvPr>
        <xdr:cNvCxnSpPr/>
      </xdr:nvCxnSpPr>
      <xdr:spPr>
        <a:xfrm flipV="1">
          <a:off x="2790265" y="1333500"/>
          <a:ext cx="134470" cy="11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56029</xdr:colOff>
      <xdr:row>1</xdr:row>
      <xdr:rowOff>156883</xdr:rowOff>
    </xdr:from>
    <xdr:to>
      <xdr:col>7</xdr:col>
      <xdr:colOff>56029</xdr:colOff>
      <xdr:row>6</xdr:row>
      <xdr:rowOff>179295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F423C0B-B9ED-F77F-0BAF-2513146274A2}"/>
            </a:ext>
          </a:extLst>
        </xdr:cNvPr>
        <xdr:cNvCxnSpPr/>
      </xdr:nvCxnSpPr>
      <xdr:spPr>
        <a:xfrm>
          <a:off x="2779058" y="347383"/>
          <a:ext cx="0" cy="9749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56030</xdr:colOff>
      <xdr:row>6</xdr:row>
      <xdr:rowOff>179294</xdr:rowOff>
    </xdr:from>
    <xdr:to>
      <xdr:col>7</xdr:col>
      <xdr:colOff>56030</xdr:colOff>
      <xdr:row>12</xdr:row>
      <xdr:rowOff>11206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6DAE27AC-0F55-4B00-BF30-97E5AD455DB9}"/>
            </a:ext>
          </a:extLst>
        </xdr:cNvPr>
        <xdr:cNvCxnSpPr/>
      </xdr:nvCxnSpPr>
      <xdr:spPr>
        <a:xfrm>
          <a:off x="2779059" y="1322294"/>
          <a:ext cx="0" cy="9749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44824</xdr:colOff>
      <xdr:row>12</xdr:row>
      <xdr:rowOff>0</xdr:rowOff>
    </xdr:from>
    <xdr:to>
      <xdr:col>8</xdr:col>
      <xdr:colOff>22411</xdr:colOff>
      <xdr:row>12</xdr:row>
      <xdr:rowOff>11206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17D4A4C5-9383-4F0E-9B26-561033C212D7}"/>
            </a:ext>
          </a:extLst>
        </xdr:cNvPr>
        <xdr:cNvCxnSpPr/>
      </xdr:nvCxnSpPr>
      <xdr:spPr>
        <a:xfrm flipV="1">
          <a:off x="2767853" y="2286000"/>
          <a:ext cx="134470" cy="11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</xdr:row>
      <xdr:rowOff>133350</xdr:rowOff>
    </xdr:from>
    <xdr:to>
      <xdr:col>16</xdr:col>
      <xdr:colOff>44824</xdr:colOff>
      <xdr:row>1</xdr:row>
      <xdr:rowOff>133350</xdr:rowOff>
    </xdr:to>
    <xdr:cxnSp macro="">
      <xdr:nvCxnSpPr>
        <xdr:cNvPr id="22" name="Conector de Seta Reta 21">
          <a:extLst>
            <a:ext uri="{FF2B5EF4-FFF2-40B4-BE49-F238E27FC236}">
              <a16:creationId xmlns:a16="http://schemas.microsoft.com/office/drawing/2014/main" id="{B6A8E6D5-14F4-4512-8A01-1AA98D763215}"/>
            </a:ext>
          </a:extLst>
        </xdr:cNvPr>
        <xdr:cNvCxnSpPr/>
      </xdr:nvCxnSpPr>
      <xdr:spPr>
        <a:xfrm>
          <a:off x="10315575" y="342900"/>
          <a:ext cx="187699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695325</xdr:colOff>
      <xdr:row>2</xdr:row>
      <xdr:rowOff>0</xdr:rowOff>
    </xdr:from>
    <xdr:to>
      <xdr:col>20</xdr:col>
      <xdr:colOff>57150</xdr:colOff>
      <xdr:row>2</xdr:row>
      <xdr:rowOff>19050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478F7624-C39A-4FEE-9EAA-365FAAF54B14}"/>
            </a:ext>
          </a:extLst>
        </xdr:cNvPr>
        <xdr:cNvCxnSpPr/>
      </xdr:nvCxnSpPr>
      <xdr:spPr>
        <a:xfrm>
          <a:off x="12563475" y="400050"/>
          <a:ext cx="20955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694765</xdr:colOff>
      <xdr:row>12</xdr:row>
      <xdr:rowOff>22413</xdr:rowOff>
    </xdr:from>
    <xdr:to>
      <xdr:col>11</xdr:col>
      <xdr:colOff>67234</xdr:colOff>
      <xdr:row>17</xdr:row>
      <xdr:rowOff>156883</xdr:rowOff>
    </xdr:to>
    <xdr:cxnSp macro="">
      <xdr:nvCxnSpPr>
        <xdr:cNvPr id="42" name="Conector: Angulado 41">
          <a:extLst>
            <a:ext uri="{FF2B5EF4-FFF2-40B4-BE49-F238E27FC236}">
              <a16:creationId xmlns:a16="http://schemas.microsoft.com/office/drawing/2014/main" id="{122EF421-68C5-184E-1C6B-258AB556D1A7}"/>
            </a:ext>
          </a:extLst>
        </xdr:cNvPr>
        <xdr:cNvCxnSpPr/>
      </xdr:nvCxnSpPr>
      <xdr:spPr>
        <a:xfrm rot="5400000" flipH="1" flipV="1">
          <a:off x="6516220" y="2885516"/>
          <a:ext cx="1120588" cy="78440"/>
        </a:xfrm>
        <a:prstGeom prst="bentConnector3">
          <a:avLst>
            <a:gd name="adj1" fmla="val -1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56032</xdr:colOff>
      <xdr:row>1</xdr:row>
      <xdr:rowOff>89648</xdr:rowOff>
    </xdr:from>
    <xdr:to>
      <xdr:col>12</xdr:col>
      <xdr:colOff>33620</xdr:colOff>
      <xdr:row>6</xdr:row>
      <xdr:rowOff>56030</xdr:rowOff>
    </xdr:to>
    <xdr:cxnSp macro="">
      <xdr:nvCxnSpPr>
        <xdr:cNvPr id="47" name="Conector: Angulado 46">
          <a:extLst>
            <a:ext uri="{FF2B5EF4-FFF2-40B4-BE49-F238E27FC236}">
              <a16:creationId xmlns:a16="http://schemas.microsoft.com/office/drawing/2014/main" id="{BC573FF4-BF61-C342-0FF2-4E74D1B936AE}"/>
            </a:ext>
          </a:extLst>
        </xdr:cNvPr>
        <xdr:cNvCxnSpPr/>
      </xdr:nvCxnSpPr>
      <xdr:spPr>
        <a:xfrm rot="5400000" flipH="1" flipV="1">
          <a:off x="6701121" y="683559"/>
          <a:ext cx="918882" cy="112059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57152</xdr:colOff>
      <xdr:row>2</xdr:row>
      <xdr:rowOff>19053</xdr:rowOff>
    </xdr:from>
    <xdr:to>
      <xdr:col>20</xdr:col>
      <xdr:colOff>22408</xdr:colOff>
      <xdr:row>7</xdr:row>
      <xdr:rowOff>44824</xdr:rowOff>
    </xdr:to>
    <xdr:cxnSp macro="">
      <xdr:nvCxnSpPr>
        <xdr:cNvPr id="53" name="Conector: Angulado 52">
          <a:extLst>
            <a:ext uri="{FF2B5EF4-FFF2-40B4-BE49-F238E27FC236}">
              <a16:creationId xmlns:a16="http://schemas.microsoft.com/office/drawing/2014/main" id="{29E90179-F2AD-1F5B-ADBB-08C8D0A0B228}"/>
            </a:ext>
          </a:extLst>
        </xdr:cNvPr>
        <xdr:cNvCxnSpPr/>
      </xdr:nvCxnSpPr>
      <xdr:spPr>
        <a:xfrm rot="16200000" flipH="1">
          <a:off x="12171270" y="877985"/>
          <a:ext cx="1025896" cy="108131"/>
        </a:xfrm>
        <a:prstGeom prst="bentConnector3">
          <a:avLst>
            <a:gd name="adj1" fmla="val 10199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694764</xdr:colOff>
      <xdr:row>1</xdr:row>
      <xdr:rowOff>179295</xdr:rowOff>
    </xdr:from>
    <xdr:to>
      <xdr:col>23</xdr:col>
      <xdr:colOff>112058</xdr:colOff>
      <xdr:row>7</xdr:row>
      <xdr:rowOff>44825</xdr:rowOff>
    </xdr:to>
    <xdr:cxnSp macro="">
      <xdr:nvCxnSpPr>
        <xdr:cNvPr id="66" name="Conector: Angulado 65">
          <a:extLst>
            <a:ext uri="{FF2B5EF4-FFF2-40B4-BE49-F238E27FC236}">
              <a16:creationId xmlns:a16="http://schemas.microsoft.com/office/drawing/2014/main" id="{B6115B5F-3BE6-B2BC-9C5F-92B09D727F3D}"/>
            </a:ext>
          </a:extLst>
        </xdr:cNvPr>
        <xdr:cNvCxnSpPr/>
      </xdr:nvCxnSpPr>
      <xdr:spPr>
        <a:xfrm rot="5400000" flipH="1" flipV="1">
          <a:off x="11379573" y="812427"/>
          <a:ext cx="1008530" cy="123265"/>
        </a:xfrm>
        <a:prstGeom prst="bentConnector3">
          <a:avLst>
            <a:gd name="adj1" fmla="val -1111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</xdr:row>
      <xdr:rowOff>168088</xdr:rowOff>
    </xdr:from>
    <xdr:to>
      <xdr:col>24</xdr:col>
      <xdr:colOff>44824</xdr:colOff>
      <xdr:row>1</xdr:row>
      <xdr:rowOff>179294</xdr:rowOff>
    </xdr:to>
    <xdr:cxnSp macro="">
      <xdr:nvCxnSpPr>
        <xdr:cNvPr id="69" name="Conector de Seta Reta 68">
          <a:extLst>
            <a:ext uri="{FF2B5EF4-FFF2-40B4-BE49-F238E27FC236}">
              <a16:creationId xmlns:a16="http://schemas.microsoft.com/office/drawing/2014/main" id="{E514A2EE-F7BB-A9D3-8D1F-38B51D71D9C0}"/>
            </a:ext>
          </a:extLst>
        </xdr:cNvPr>
        <xdr:cNvCxnSpPr/>
      </xdr:nvCxnSpPr>
      <xdr:spPr>
        <a:xfrm flipV="1">
          <a:off x="11833412" y="358588"/>
          <a:ext cx="280147" cy="11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22411</xdr:colOff>
      <xdr:row>6</xdr:row>
      <xdr:rowOff>33618</xdr:rowOff>
    </xdr:from>
    <xdr:to>
      <xdr:col>11</xdr:col>
      <xdr:colOff>56029</xdr:colOff>
      <xdr:row>12</xdr:row>
      <xdr:rowOff>44824</xdr:rowOff>
    </xdr:to>
    <xdr:cxnSp macro="">
      <xdr:nvCxnSpPr>
        <xdr:cNvPr id="73" name="Conector: Angulado 72">
          <a:extLst>
            <a:ext uri="{FF2B5EF4-FFF2-40B4-BE49-F238E27FC236}">
              <a16:creationId xmlns:a16="http://schemas.microsoft.com/office/drawing/2014/main" id="{5C00BFDC-ACCE-BF56-1401-E645DCA4C82C}"/>
            </a:ext>
          </a:extLst>
        </xdr:cNvPr>
        <xdr:cNvCxnSpPr/>
      </xdr:nvCxnSpPr>
      <xdr:spPr>
        <a:xfrm rot="5400000" flipH="1" flipV="1">
          <a:off x="4459941" y="1736912"/>
          <a:ext cx="1154206" cy="33618"/>
        </a:xfrm>
        <a:prstGeom prst="bentConnector3">
          <a:avLst>
            <a:gd name="adj1" fmla="val 485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1</xdr:row>
      <xdr:rowOff>168088</xdr:rowOff>
    </xdr:from>
    <xdr:to>
      <xdr:col>28</xdr:col>
      <xdr:colOff>22411</xdr:colOff>
      <xdr:row>1</xdr:row>
      <xdr:rowOff>168088</xdr:rowOff>
    </xdr:to>
    <xdr:cxnSp macro="">
      <xdr:nvCxnSpPr>
        <xdr:cNvPr id="77" name="Conector de Seta Reta 76">
          <a:extLst>
            <a:ext uri="{FF2B5EF4-FFF2-40B4-BE49-F238E27FC236}">
              <a16:creationId xmlns:a16="http://schemas.microsoft.com/office/drawing/2014/main" id="{B9F4433C-656B-7721-AC48-6B307167207F}"/>
            </a:ext>
          </a:extLst>
        </xdr:cNvPr>
        <xdr:cNvCxnSpPr/>
      </xdr:nvCxnSpPr>
      <xdr:spPr>
        <a:xfrm>
          <a:off x="14097000" y="358588"/>
          <a:ext cx="25773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</xdr:row>
      <xdr:rowOff>0</xdr:rowOff>
    </xdr:from>
    <xdr:to>
      <xdr:col>32</xdr:col>
      <xdr:colOff>56029</xdr:colOff>
      <xdr:row>2</xdr:row>
      <xdr:rowOff>11206</xdr:rowOff>
    </xdr:to>
    <xdr:cxnSp macro="">
      <xdr:nvCxnSpPr>
        <xdr:cNvPr id="79" name="Conector de Seta Reta 78">
          <a:extLst>
            <a:ext uri="{FF2B5EF4-FFF2-40B4-BE49-F238E27FC236}">
              <a16:creationId xmlns:a16="http://schemas.microsoft.com/office/drawing/2014/main" id="{3A2B57BC-F913-4CD8-9D5A-ADF197E9B036}"/>
            </a:ext>
          </a:extLst>
        </xdr:cNvPr>
        <xdr:cNvCxnSpPr/>
      </xdr:nvCxnSpPr>
      <xdr:spPr>
        <a:xfrm>
          <a:off x="18288000" y="381000"/>
          <a:ext cx="145676" cy="11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56030</xdr:colOff>
      <xdr:row>11</xdr:row>
      <xdr:rowOff>190499</xdr:rowOff>
    </xdr:from>
    <xdr:to>
      <xdr:col>8</xdr:col>
      <xdr:colOff>22412</xdr:colOff>
      <xdr:row>17</xdr:row>
      <xdr:rowOff>123263</xdr:rowOff>
    </xdr:to>
    <xdr:cxnSp macro="">
      <xdr:nvCxnSpPr>
        <xdr:cNvPr id="81" name="Conector: Angulado 80">
          <a:extLst>
            <a:ext uri="{FF2B5EF4-FFF2-40B4-BE49-F238E27FC236}">
              <a16:creationId xmlns:a16="http://schemas.microsoft.com/office/drawing/2014/main" id="{D085440E-C3DC-47AE-1B71-6D0C8277191C}"/>
            </a:ext>
          </a:extLst>
        </xdr:cNvPr>
        <xdr:cNvCxnSpPr/>
      </xdr:nvCxnSpPr>
      <xdr:spPr>
        <a:xfrm rot="16200000" flipH="1">
          <a:off x="4347883" y="2846294"/>
          <a:ext cx="1120587" cy="89646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683559</xdr:colOff>
      <xdr:row>7</xdr:row>
      <xdr:rowOff>11206</xdr:rowOff>
    </xdr:from>
    <xdr:to>
      <xdr:col>11</xdr:col>
      <xdr:colOff>67235</xdr:colOff>
      <xdr:row>7</xdr:row>
      <xdr:rowOff>22412</xdr:rowOff>
    </xdr:to>
    <xdr:cxnSp macro="">
      <xdr:nvCxnSpPr>
        <xdr:cNvPr id="86" name="Conector reto 85">
          <a:extLst>
            <a:ext uri="{FF2B5EF4-FFF2-40B4-BE49-F238E27FC236}">
              <a16:creationId xmlns:a16="http://schemas.microsoft.com/office/drawing/2014/main" id="{A5FC2570-D46B-DBFC-CB5F-3A71A7667BC1}"/>
            </a:ext>
          </a:extLst>
        </xdr:cNvPr>
        <xdr:cNvCxnSpPr/>
      </xdr:nvCxnSpPr>
      <xdr:spPr>
        <a:xfrm>
          <a:off x="7026088" y="1344706"/>
          <a:ext cx="89647" cy="112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694765</xdr:colOff>
      <xdr:row>1</xdr:row>
      <xdr:rowOff>89646</xdr:rowOff>
    </xdr:from>
    <xdr:to>
      <xdr:col>11</xdr:col>
      <xdr:colOff>56029</xdr:colOff>
      <xdr:row>1</xdr:row>
      <xdr:rowOff>89646</xdr:rowOff>
    </xdr:to>
    <xdr:cxnSp macro="">
      <xdr:nvCxnSpPr>
        <xdr:cNvPr id="93" name="Conector reto 92">
          <a:extLst>
            <a:ext uri="{FF2B5EF4-FFF2-40B4-BE49-F238E27FC236}">
              <a16:creationId xmlns:a16="http://schemas.microsoft.com/office/drawing/2014/main" id="{F659CA10-7651-1FCD-DE69-B27B83ECD0CC}"/>
            </a:ext>
          </a:extLst>
        </xdr:cNvPr>
        <xdr:cNvCxnSpPr/>
      </xdr:nvCxnSpPr>
      <xdr:spPr>
        <a:xfrm>
          <a:off x="8393206" y="302558"/>
          <a:ext cx="6723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AC40-73EF-4473-85C2-0A8D5DF06E0A}">
  <dimension ref="A1:AI27"/>
  <sheetViews>
    <sheetView tabSelected="1" zoomScaleNormal="100" workbookViewId="0">
      <selection activeCell="C21" sqref="C21"/>
    </sheetView>
  </sheetViews>
  <sheetFormatPr defaultRowHeight="15" x14ac:dyDescent="0.25"/>
  <cols>
    <col min="1" max="1" width="25.28515625" customWidth="1"/>
    <col min="2" max="2" width="7.140625" customWidth="1"/>
    <col min="3" max="3" width="14.85546875" customWidth="1"/>
    <col min="4" max="4" width="3" customWidth="1"/>
    <col min="5" max="7" width="10.5703125" bestFit="1" customWidth="1"/>
    <col min="8" max="8" width="3" customWidth="1"/>
    <col min="9" max="10" width="10.5703125" bestFit="1" customWidth="1"/>
    <col min="11" max="11" width="10.5703125" customWidth="1"/>
    <col min="12" max="12" width="2" customWidth="1"/>
    <col min="13" max="15" width="10.5703125" bestFit="1" customWidth="1"/>
    <col min="16" max="16" width="2.140625" customWidth="1"/>
    <col min="17" max="19" width="10.5703125" bestFit="1" customWidth="1"/>
    <col min="20" max="20" width="2.140625" customWidth="1"/>
    <col min="21" max="22" width="10.5703125" bestFit="1" customWidth="1"/>
    <col min="23" max="23" width="11.7109375" customWidth="1"/>
    <col min="24" max="24" width="2.42578125" customWidth="1"/>
    <col min="25" max="25" width="10.5703125" bestFit="1" customWidth="1"/>
    <col min="26" max="26" width="9.28515625" bestFit="1" customWidth="1"/>
    <col min="27" max="27" width="10.5703125" bestFit="1" customWidth="1"/>
    <col min="28" max="28" width="1.7109375" customWidth="1"/>
    <col min="29" max="29" width="10.5703125" bestFit="1" customWidth="1"/>
    <col min="30" max="30" width="9.28515625" bestFit="1" customWidth="1"/>
    <col min="31" max="31" width="10.5703125" bestFit="1" customWidth="1"/>
    <col min="32" max="32" width="1.28515625" customWidth="1"/>
    <col min="33" max="33" width="10.5703125" bestFit="1" customWidth="1"/>
    <col min="34" max="34" width="11.5703125" customWidth="1"/>
    <col min="35" max="35" width="11.7109375" bestFit="1" customWidth="1"/>
  </cols>
  <sheetData>
    <row r="1" spans="1:35" ht="16.5" x14ac:dyDescent="0.3">
      <c r="A1" s="69" t="s">
        <v>26</v>
      </c>
      <c r="B1" s="70"/>
      <c r="C1" s="71"/>
      <c r="E1" s="4">
        <v>45917</v>
      </c>
      <c r="F1" s="5" t="str">
        <f>A7</f>
        <v>Giordano</v>
      </c>
      <c r="G1" s="6">
        <f>(-1+E1)+G4</f>
        <v>45917</v>
      </c>
      <c r="I1" s="4">
        <f>WORKDAY.INTL(G1, 1, "0000011")</f>
        <v>45918</v>
      </c>
      <c r="J1" s="58" t="str">
        <f>A8</f>
        <v>Bonetti</v>
      </c>
      <c r="K1" s="4">
        <f>WORKDAY.INTL(IF(AND(WEEKDAY(G1,2)=5,K4&gt;1),G1+2,G1), K4, "0000011")</f>
        <v>45919</v>
      </c>
      <c r="M1" s="4">
        <f>WORKDAY.INTL(K6, 1, "0000011")</f>
        <v>45923</v>
      </c>
      <c r="N1" s="52" t="str">
        <f>A7</f>
        <v>Giordano</v>
      </c>
      <c r="O1" s="4">
        <f>WORKDAY.INTL(IF(AND(WEEKDAY(K6,2)=5,O4&gt;1),K6+2,K6), O4, "0000011")</f>
        <v>45923</v>
      </c>
      <c r="Q1" s="4">
        <f>WORKDAY.INTL(O1, 1, "0000011")</f>
        <v>45924</v>
      </c>
      <c r="R1" s="52" t="str">
        <f>A7</f>
        <v>Giordano</v>
      </c>
      <c r="S1" s="4">
        <f>WORKDAY.INTL(IF(AND(WEEKDAY(O1,2)=5,S4&gt;1),O1+2,O1), S4, "0000011")</f>
        <v>45925</v>
      </c>
      <c r="U1" s="10">
        <f>WORKDAY.INTL(S1, 1, "0000011")</f>
        <v>45926</v>
      </c>
      <c r="V1" s="11" t="str">
        <f>A10</f>
        <v>Edson</v>
      </c>
      <c r="W1" s="10">
        <f>WORKDAY.INTL(IF(AND(WEEKDAY(S1,2)=5,S1&gt;1),S1+2,S1), W4, "0000011")</f>
        <v>45926</v>
      </c>
      <c r="Y1" s="4">
        <f>WORKDAY.INTL(W6, 1, "0000011")</f>
        <v>45930</v>
      </c>
      <c r="Z1" s="52" t="str">
        <f>A7</f>
        <v>Giordano</v>
      </c>
      <c r="AA1" s="4">
        <f>WORKDAY.INTL(IF(AND(WEEKDAY(W6,2)=5,AA4&gt;1),W6+2,W6), AA4, "0000011")</f>
        <v>45930</v>
      </c>
      <c r="AB1" s="8"/>
      <c r="AC1" s="4">
        <f>WORKDAY.INTL(AA1, 1, "0000011")</f>
        <v>45931</v>
      </c>
      <c r="AD1" s="5" t="str">
        <f>A12</f>
        <v>Alex</v>
      </c>
      <c r="AE1" s="4">
        <f>WORKDAY.INTL(IF(AND(WEEKDAY(AA1,2)=5,AE4&gt;1),AA1+2,AA1), AE4, "0000011")</f>
        <v>45931</v>
      </c>
      <c r="AF1" s="8"/>
      <c r="AG1" s="4">
        <f>WORKDAY.INTL(AE1, 1, "0000011")</f>
        <v>45932</v>
      </c>
      <c r="AH1" s="5" t="str">
        <f>A13</f>
        <v>Loiola</v>
      </c>
      <c r="AI1" s="4">
        <f>WORKDAY.INTL(IF(AND(WEEKDAY(AE1,2)=5,AI4&gt;1),AE1+2,AE1), AI4, "0000011")</f>
        <v>45933</v>
      </c>
    </row>
    <row r="2" spans="1:35" x14ac:dyDescent="0.25">
      <c r="A2" s="72" t="s">
        <v>27</v>
      </c>
      <c r="B2" s="73"/>
      <c r="C2" s="48">
        <v>8</v>
      </c>
      <c r="E2" s="67" t="s">
        <v>1</v>
      </c>
      <c r="F2" s="67"/>
      <c r="G2" s="67"/>
      <c r="I2" s="67" t="s">
        <v>3</v>
      </c>
      <c r="J2" s="67"/>
      <c r="K2" s="67"/>
      <c r="M2" s="67" t="s">
        <v>8</v>
      </c>
      <c r="N2" s="67"/>
      <c r="O2" s="67"/>
      <c r="Q2" s="67" t="s">
        <v>30</v>
      </c>
      <c r="R2" s="67"/>
      <c r="S2" s="67"/>
      <c r="U2" s="68" t="s">
        <v>12</v>
      </c>
      <c r="V2" s="68"/>
      <c r="W2" s="68"/>
      <c r="Y2" s="67" t="s">
        <v>13</v>
      </c>
      <c r="Z2" s="67"/>
      <c r="AA2" s="67"/>
      <c r="AB2" s="8"/>
      <c r="AC2" s="67" t="s">
        <v>15</v>
      </c>
      <c r="AD2" s="67"/>
      <c r="AE2" s="67"/>
      <c r="AF2" s="8"/>
      <c r="AG2" s="67" t="s">
        <v>17</v>
      </c>
      <c r="AH2" s="67"/>
      <c r="AI2" s="67"/>
    </row>
    <row r="3" spans="1:35" x14ac:dyDescent="0.25">
      <c r="A3" s="72" t="s">
        <v>34</v>
      </c>
      <c r="B3" s="73"/>
      <c r="C3" s="48" cm="1">
        <f t="array" aca="1" ref="C3" ca="1">SUMPRODUCT(--(WEEKDAY(ROW(INDIRECT(G1&amp;":"&amp;AI1)),2)&gt;5))</f>
        <v>4</v>
      </c>
      <c r="E3" s="67"/>
      <c r="F3" s="67"/>
      <c r="G3" s="67"/>
      <c r="I3" s="67"/>
      <c r="J3" s="67"/>
      <c r="K3" s="67"/>
      <c r="M3" s="67"/>
      <c r="N3" s="67"/>
      <c r="O3" s="67"/>
      <c r="Q3" s="67"/>
      <c r="R3" s="67"/>
      <c r="S3" s="67"/>
      <c r="U3" s="68"/>
      <c r="V3" s="68"/>
      <c r="W3" s="68"/>
      <c r="Y3" s="67"/>
      <c r="Z3" s="67"/>
      <c r="AA3" s="67"/>
      <c r="AB3" s="8"/>
      <c r="AC3" s="67"/>
      <c r="AD3" s="67"/>
      <c r="AE3" s="67"/>
      <c r="AF3" s="8"/>
      <c r="AG3" s="67"/>
      <c r="AH3" s="67"/>
      <c r="AI3" s="67"/>
    </row>
    <row r="4" spans="1:35" x14ac:dyDescent="0.25">
      <c r="E4" s="5">
        <v>1</v>
      </c>
      <c r="F4" s="7">
        <f>C7*C2</f>
        <v>160</v>
      </c>
      <c r="G4" s="5">
        <v>1</v>
      </c>
      <c r="I4" s="58">
        <v>2</v>
      </c>
      <c r="J4" s="7">
        <f>C8*K4*C2</f>
        <v>640</v>
      </c>
      <c r="K4" s="58">
        <v>2</v>
      </c>
      <c r="M4" s="5">
        <v>6</v>
      </c>
      <c r="N4" s="7">
        <f>C7*C2</f>
        <v>160</v>
      </c>
      <c r="O4" s="5">
        <v>1</v>
      </c>
      <c r="Q4" s="5">
        <v>7</v>
      </c>
      <c r="R4" s="7">
        <f>C7*S4*C2</f>
        <v>320</v>
      </c>
      <c r="S4" s="5">
        <v>2</v>
      </c>
      <c r="U4" s="11">
        <v>8</v>
      </c>
      <c r="V4" s="12">
        <f>C10*C2</f>
        <v>720</v>
      </c>
      <c r="W4" s="11">
        <v>1</v>
      </c>
      <c r="Y4" s="5">
        <v>10</v>
      </c>
      <c r="Z4" s="9">
        <f>C7*C2</f>
        <v>160</v>
      </c>
      <c r="AA4" s="5">
        <v>1</v>
      </c>
      <c r="AB4" s="8"/>
      <c r="AC4" s="5">
        <v>11</v>
      </c>
      <c r="AD4" s="9">
        <f>C12*C2</f>
        <v>240</v>
      </c>
      <c r="AE4" s="5">
        <v>1</v>
      </c>
      <c r="AF4" s="8"/>
      <c r="AG4" s="5">
        <v>12</v>
      </c>
      <c r="AH4" s="9">
        <f>C13*AI4*C2</f>
        <v>400</v>
      </c>
      <c r="AI4" s="5">
        <v>2</v>
      </c>
    </row>
    <row r="5" spans="1:35" ht="16.5" x14ac:dyDescent="0.3">
      <c r="A5" s="69" t="s">
        <v>21</v>
      </c>
      <c r="B5" s="70"/>
      <c r="C5" s="71"/>
    </row>
    <row r="6" spans="1:35" ht="16.5" x14ac:dyDescent="0.3">
      <c r="A6" s="74" t="s">
        <v>19</v>
      </c>
      <c r="B6" s="75"/>
      <c r="C6" s="14" t="s">
        <v>18</v>
      </c>
      <c r="D6" s="37"/>
      <c r="I6" s="4">
        <f>WORKDAY.INTL(G1, 1, "0000011")</f>
        <v>45918</v>
      </c>
      <c r="J6" s="52" t="str">
        <f>A7</f>
        <v>Giordano</v>
      </c>
      <c r="K6" s="4">
        <f>WORKDAY.INTL(IF(AND(WEEKDAY(G1,2)=5,K9&gt;1),G1+2,G1), K9, "0000011")</f>
        <v>45922</v>
      </c>
      <c r="U6" s="4">
        <f>WORKDAY.INTL(S1, 1, "0000011")</f>
        <v>45926</v>
      </c>
      <c r="V6" s="5" t="str">
        <f>A11</f>
        <v>Eliseu</v>
      </c>
      <c r="W6" s="4">
        <f>WORKDAY.INTL(IF(AND(WEEKDAY(S1,2)=5,W9&gt;1),S1+2,S1), W9, "0000011")</f>
        <v>45929</v>
      </c>
    </row>
    <row r="7" spans="1:35" ht="15.75" x14ac:dyDescent="0.25">
      <c r="A7" s="76" t="s">
        <v>0</v>
      </c>
      <c r="B7" s="77"/>
      <c r="C7" s="47">
        <v>20</v>
      </c>
      <c r="D7" s="38"/>
      <c r="I7" s="67" t="s">
        <v>4</v>
      </c>
      <c r="J7" s="67"/>
      <c r="K7" s="67"/>
      <c r="U7" s="67" t="s">
        <v>11</v>
      </c>
      <c r="V7" s="67"/>
      <c r="W7" s="67"/>
    </row>
    <row r="8" spans="1:35" x14ac:dyDescent="0.25">
      <c r="A8" s="78" t="s">
        <v>2</v>
      </c>
      <c r="B8" s="79"/>
      <c r="C8" s="47">
        <v>40</v>
      </c>
      <c r="I8" s="67"/>
      <c r="J8" s="67"/>
      <c r="K8" s="67"/>
      <c r="U8" s="67"/>
      <c r="V8" s="67"/>
      <c r="W8" s="67"/>
      <c r="AI8" s="3"/>
    </row>
    <row r="9" spans="1:35" ht="16.5" x14ac:dyDescent="0.3">
      <c r="A9" s="78" t="s">
        <v>5</v>
      </c>
      <c r="B9" s="79"/>
      <c r="C9" s="47">
        <f>480/C2</f>
        <v>60</v>
      </c>
      <c r="D9" s="37"/>
      <c r="I9" s="5">
        <v>3</v>
      </c>
      <c r="J9" s="7">
        <f>C7*K9*C2</f>
        <v>480</v>
      </c>
      <c r="K9" s="5">
        <v>3</v>
      </c>
      <c r="U9" s="5">
        <v>9</v>
      </c>
      <c r="V9" s="7">
        <f>C11*W9*C2</f>
        <v>571.42857142857144</v>
      </c>
      <c r="W9" s="5">
        <v>2</v>
      </c>
    </row>
    <row r="10" spans="1:35" ht="15.75" x14ac:dyDescent="0.25">
      <c r="A10" s="78" t="s">
        <v>9</v>
      </c>
      <c r="B10" s="79"/>
      <c r="C10" s="47">
        <v>90</v>
      </c>
      <c r="D10" s="39"/>
    </row>
    <row r="11" spans="1:35" ht="15.75" x14ac:dyDescent="0.25">
      <c r="A11" s="78" t="s">
        <v>10</v>
      </c>
      <c r="B11" s="79"/>
      <c r="C11" s="47">
        <f>(2000/7)/C2</f>
        <v>35.714285714285715</v>
      </c>
      <c r="D11" s="15"/>
      <c r="I11" s="10">
        <f>WORKDAY.INTL(G1, 1, "0000011")</f>
        <v>45918</v>
      </c>
      <c r="J11" s="11" t="str">
        <f>A9</f>
        <v>Denise</v>
      </c>
      <c r="K11" s="10">
        <f>WORKDAY.INTL(IF(AND(WEEKDAY(G1,2)=5,K14&gt;1),G1+2,G1), K14, "0000011")</f>
        <v>45918</v>
      </c>
      <c r="AG11" s="13"/>
      <c r="AH11" s="13"/>
    </row>
    <row r="12" spans="1:35" ht="15.75" x14ac:dyDescent="0.25">
      <c r="A12" s="78" t="s">
        <v>14</v>
      </c>
      <c r="B12" s="79"/>
      <c r="C12" s="47">
        <f>240/C2</f>
        <v>30</v>
      </c>
      <c r="D12" s="15"/>
      <c r="I12" s="68" t="s">
        <v>6</v>
      </c>
      <c r="J12" s="68"/>
      <c r="K12" s="68"/>
    </row>
    <row r="13" spans="1:35" ht="15.75" x14ac:dyDescent="0.25">
      <c r="A13" s="85" t="s">
        <v>16</v>
      </c>
      <c r="B13" s="86"/>
      <c r="C13" s="46">
        <v>25</v>
      </c>
      <c r="D13" s="15"/>
      <c r="I13" s="68"/>
      <c r="J13" s="68"/>
      <c r="K13" s="68"/>
    </row>
    <row r="14" spans="1:35" ht="15.75" x14ac:dyDescent="0.25">
      <c r="A14" s="2"/>
      <c r="B14" s="2"/>
      <c r="C14" s="2"/>
      <c r="D14" s="15"/>
      <c r="I14" s="11">
        <v>4</v>
      </c>
      <c r="J14" s="12">
        <f>C9*C2</f>
        <v>480</v>
      </c>
      <c r="K14" s="11">
        <v>1</v>
      </c>
    </row>
    <row r="15" spans="1:35" ht="16.5" x14ac:dyDescent="0.3">
      <c r="A15" s="69" t="s">
        <v>22</v>
      </c>
      <c r="B15" s="70"/>
      <c r="C15" s="71"/>
      <c r="D15" s="15"/>
    </row>
    <row r="16" spans="1:35" ht="15.75" x14ac:dyDescent="0.25">
      <c r="A16" s="54" t="s">
        <v>19</v>
      </c>
      <c r="B16" s="14" t="s">
        <v>33</v>
      </c>
      <c r="C16" s="14" t="s">
        <v>23</v>
      </c>
      <c r="E16" s="15"/>
      <c r="I16" s="4">
        <f>WORKDAY.INTL(K1, 1, "0000011")</f>
        <v>45922</v>
      </c>
      <c r="J16" s="58" t="str">
        <f>A8</f>
        <v>Bonetti</v>
      </c>
      <c r="K16" s="4">
        <f>WORKDAY.INTL(IF(AND(WEEKDAY(K1,2)=5,K19&gt;1),K1+2,K1), K19, "0000011")</f>
        <v>45922</v>
      </c>
    </row>
    <row r="17" spans="1:11" x14ac:dyDescent="0.25">
      <c r="A17" s="55" t="s">
        <v>29</v>
      </c>
      <c r="B17" s="57">
        <v>100</v>
      </c>
      <c r="C17" s="56">
        <v>20</v>
      </c>
      <c r="I17" s="67" t="s">
        <v>7</v>
      </c>
      <c r="J17" s="67"/>
      <c r="K17" s="67"/>
    </row>
    <row r="18" spans="1:11" x14ac:dyDescent="0.25">
      <c r="A18" s="72" t="s">
        <v>24</v>
      </c>
      <c r="B18" s="73"/>
      <c r="C18" s="46">
        <v>4000</v>
      </c>
      <c r="I18" s="67"/>
      <c r="J18" s="67"/>
      <c r="K18" s="67"/>
    </row>
    <row r="19" spans="1:11" ht="16.5" x14ac:dyDescent="0.3">
      <c r="A19" s="2"/>
      <c r="B19" s="2"/>
      <c r="C19" s="2"/>
      <c r="D19" s="37"/>
      <c r="I19" s="58">
        <v>5</v>
      </c>
      <c r="J19" s="7">
        <f>C8*C2</f>
        <v>320</v>
      </c>
      <c r="K19" s="58">
        <v>1</v>
      </c>
    </row>
    <row r="20" spans="1:11" ht="19.5" x14ac:dyDescent="0.35">
      <c r="A20" s="82" t="s">
        <v>25</v>
      </c>
      <c r="B20" s="83"/>
      <c r="C20" s="84"/>
      <c r="D20" s="39"/>
    </row>
    <row r="21" spans="1:11" ht="15.75" x14ac:dyDescent="0.25">
      <c r="A21" s="80" t="s">
        <v>28</v>
      </c>
      <c r="B21" s="81"/>
      <c r="C21" s="43">
        <f>AI1-G1+1</f>
        <v>17</v>
      </c>
      <c r="D21" s="15"/>
    </row>
    <row r="22" spans="1:11" ht="15.75" x14ac:dyDescent="0.25">
      <c r="A22" s="80" t="s">
        <v>32</v>
      </c>
      <c r="B22" s="81"/>
      <c r="C22" s="43">
        <f ca="1">C21-C3</f>
        <v>13</v>
      </c>
      <c r="D22" s="15"/>
    </row>
    <row r="23" spans="1:11" ht="15.75" x14ac:dyDescent="0.25">
      <c r="A23" s="80" t="s">
        <v>20</v>
      </c>
      <c r="B23" s="81"/>
      <c r="C23" s="45">
        <f>AH4+AD4+Z4+V4+V9+R4+N4+J19+J14+J9+J4+F4+C18+(C17*B17)</f>
        <v>10651.428571428572</v>
      </c>
      <c r="E23" s="53"/>
    </row>
    <row r="24" spans="1:11" ht="19.5" x14ac:dyDescent="0.35">
      <c r="D24" s="40"/>
    </row>
    <row r="26" spans="1:11" ht="17.25" x14ac:dyDescent="0.3">
      <c r="D26" s="41"/>
    </row>
    <row r="27" spans="1:11" ht="17.25" x14ac:dyDescent="0.3">
      <c r="D27" s="42"/>
    </row>
  </sheetData>
  <mergeCells count="30">
    <mergeCell ref="A21:B21"/>
    <mergeCell ref="A22:B22"/>
    <mergeCell ref="A23:B23"/>
    <mergeCell ref="A2:B2"/>
    <mergeCell ref="A15:C15"/>
    <mergeCell ref="A20:C20"/>
    <mergeCell ref="A10:B10"/>
    <mergeCell ref="A11:B11"/>
    <mergeCell ref="A12:B12"/>
    <mergeCell ref="A13:B13"/>
    <mergeCell ref="A18:B18"/>
    <mergeCell ref="A1:C1"/>
    <mergeCell ref="A6:B6"/>
    <mergeCell ref="A7:B7"/>
    <mergeCell ref="A8:B8"/>
    <mergeCell ref="A9:B9"/>
    <mergeCell ref="E2:G3"/>
    <mergeCell ref="I2:K3"/>
    <mergeCell ref="I7:K8"/>
    <mergeCell ref="I12:K13"/>
    <mergeCell ref="A5:C5"/>
    <mergeCell ref="A3:B3"/>
    <mergeCell ref="AC2:AE3"/>
    <mergeCell ref="AG2:AI3"/>
    <mergeCell ref="I17:K18"/>
    <mergeCell ref="M2:O3"/>
    <mergeCell ref="Q2:S3"/>
    <mergeCell ref="U2:W3"/>
    <mergeCell ref="U7:W8"/>
    <mergeCell ref="Y2:AA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3541-FB5B-4D87-B001-21BC0E4BB2D7}">
  <dimension ref="A1:S19"/>
  <sheetViews>
    <sheetView workbookViewId="0">
      <selection activeCell="R1" sqref="R1"/>
    </sheetView>
  </sheetViews>
  <sheetFormatPr defaultRowHeight="15" x14ac:dyDescent="0.25"/>
  <cols>
    <col min="1" max="1" width="27.140625" bestFit="1" customWidth="1"/>
    <col min="2" max="18" width="13.42578125" bestFit="1" customWidth="1"/>
    <col min="19" max="19" width="10.42578125" bestFit="1" customWidth="1"/>
  </cols>
  <sheetData>
    <row r="1" spans="1:19" ht="19.5" x14ac:dyDescent="0.35">
      <c r="A1" s="66" t="s">
        <v>31</v>
      </c>
      <c r="B1" s="64">
        <f>'Diagrama de atividades'!E1</f>
        <v>45917</v>
      </c>
      <c r="C1" s="65">
        <f>B1+1</f>
        <v>45918</v>
      </c>
      <c r="D1" s="65">
        <f t="shared" ref="D1:R1" si="0">C1+1</f>
        <v>45919</v>
      </c>
      <c r="E1" s="65">
        <f t="shared" si="0"/>
        <v>45920</v>
      </c>
      <c r="F1" s="65">
        <f t="shared" si="0"/>
        <v>45921</v>
      </c>
      <c r="G1" s="65">
        <f t="shared" si="0"/>
        <v>45922</v>
      </c>
      <c r="H1" s="65">
        <f t="shared" si="0"/>
        <v>45923</v>
      </c>
      <c r="I1" s="65">
        <f t="shared" si="0"/>
        <v>45924</v>
      </c>
      <c r="J1" s="65">
        <f t="shared" si="0"/>
        <v>45925</v>
      </c>
      <c r="K1" s="65">
        <f t="shared" si="0"/>
        <v>45926</v>
      </c>
      <c r="L1" s="65">
        <f t="shared" si="0"/>
        <v>45927</v>
      </c>
      <c r="M1" s="65">
        <f t="shared" si="0"/>
        <v>45928</v>
      </c>
      <c r="N1" s="65">
        <f t="shared" si="0"/>
        <v>45929</v>
      </c>
      <c r="O1" s="65">
        <f t="shared" si="0"/>
        <v>45930</v>
      </c>
      <c r="P1" s="65">
        <f t="shared" si="0"/>
        <v>45931</v>
      </c>
      <c r="Q1" s="65">
        <f t="shared" si="0"/>
        <v>45932</v>
      </c>
      <c r="R1" s="65">
        <f t="shared" si="0"/>
        <v>45933</v>
      </c>
      <c r="S1" s="3"/>
    </row>
    <row r="2" spans="1:19" x14ac:dyDescent="0.25">
      <c r="A2" s="1" t="s">
        <v>1</v>
      </c>
      <c r="B2" s="23"/>
      <c r="C2" s="24"/>
      <c r="D2" s="24"/>
      <c r="E2" s="25"/>
      <c r="F2" s="61"/>
      <c r="G2" s="59"/>
      <c r="H2" s="60"/>
      <c r="I2" s="60"/>
      <c r="J2" s="60"/>
      <c r="K2" s="24"/>
      <c r="L2" s="25"/>
      <c r="M2" s="61"/>
      <c r="N2" s="26"/>
      <c r="O2" s="24"/>
      <c r="P2" s="24"/>
      <c r="Q2" s="24"/>
      <c r="R2" s="27"/>
    </row>
    <row r="3" spans="1:19" x14ac:dyDescent="0.25">
      <c r="A3" s="1" t="s">
        <v>3</v>
      </c>
      <c r="B3" s="28"/>
      <c r="C3" s="18"/>
      <c r="D3" s="18"/>
      <c r="E3" s="21"/>
      <c r="F3" s="62"/>
      <c r="G3" s="19"/>
      <c r="H3" s="16"/>
      <c r="I3" s="16"/>
      <c r="J3" s="16"/>
      <c r="K3" s="16"/>
      <c r="L3" s="21"/>
      <c r="M3" s="62"/>
      <c r="N3" s="19"/>
      <c r="O3" s="16"/>
      <c r="P3" s="16"/>
      <c r="Q3" s="16"/>
      <c r="R3" s="29"/>
    </row>
    <row r="4" spans="1:19" x14ac:dyDescent="0.25">
      <c r="A4" s="1" t="s">
        <v>4</v>
      </c>
      <c r="B4" s="28"/>
      <c r="C4" s="17"/>
      <c r="D4" s="17"/>
      <c r="E4" s="21"/>
      <c r="F4" s="62"/>
      <c r="G4" s="20"/>
      <c r="H4" s="16"/>
      <c r="I4" s="16"/>
      <c r="J4" s="16"/>
      <c r="K4" s="16"/>
      <c r="L4" s="21"/>
      <c r="M4" s="62"/>
      <c r="N4" s="19"/>
      <c r="O4" s="16"/>
      <c r="P4" s="16"/>
      <c r="Q4" s="16"/>
      <c r="R4" s="29"/>
    </row>
    <row r="5" spans="1:19" x14ac:dyDescent="0.25">
      <c r="A5" s="1" t="s">
        <v>6</v>
      </c>
      <c r="B5" s="28"/>
      <c r="C5" s="18"/>
      <c r="D5" s="16"/>
      <c r="E5" s="21"/>
      <c r="F5" s="62"/>
      <c r="G5" s="19"/>
      <c r="H5" s="16"/>
      <c r="I5" s="16"/>
      <c r="J5" s="16"/>
      <c r="K5" s="16"/>
      <c r="L5" s="21"/>
      <c r="M5" s="62"/>
      <c r="N5" s="19"/>
      <c r="O5" s="16"/>
      <c r="P5" s="16"/>
      <c r="Q5" s="16"/>
      <c r="R5" s="29"/>
    </row>
    <row r="6" spans="1:19" x14ac:dyDescent="0.25">
      <c r="A6" s="1" t="s">
        <v>7</v>
      </c>
      <c r="B6" s="28"/>
      <c r="C6" s="16"/>
      <c r="D6" s="16"/>
      <c r="E6" s="21"/>
      <c r="F6" s="62"/>
      <c r="G6" s="22"/>
      <c r="H6" s="16"/>
      <c r="I6" s="16"/>
      <c r="J6" s="16"/>
      <c r="K6" s="16"/>
      <c r="L6" s="21"/>
      <c r="M6" s="62"/>
      <c r="N6" s="19"/>
      <c r="O6" s="16"/>
      <c r="P6" s="16"/>
      <c r="Q6" s="16"/>
      <c r="R6" s="29"/>
    </row>
    <row r="7" spans="1:19" x14ac:dyDescent="0.25">
      <c r="A7" s="1" t="s">
        <v>8</v>
      </c>
      <c r="B7" s="28"/>
      <c r="C7" s="16"/>
      <c r="D7" s="16"/>
      <c r="E7" s="21"/>
      <c r="F7" s="62"/>
      <c r="G7" s="19"/>
      <c r="H7" s="17"/>
      <c r="I7" s="16"/>
      <c r="J7" s="16"/>
      <c r="K7" s="16"/>
      <c r="L7" s="21"/>
      <c r="M7" s="62"/>
      <c r="N7" s="19"/>
      <c r="O7" s="16"/>
      <c r="P7" s="16"/>
      <c r="Q7" s="16"/>
      <c r="R7" s="29"/>
    </row>
    <row r="8" spans="1:19" x14ac:dyDescent="0.25">
      <c r="A8" s="1" t="s">
        <v>30</v>
      </c>
      <c r="B8" s="28"/>
      <c r="C8" s="16"/>
      <c r="D8" s="16"/>
      <c r="E8" s="21"/>
      <c r="F8" s="62"/>
      <c r="G8" s="19"/>
      <c r="H8" s="16"/>
      <c r="I8" s="17"/>
      <c r="J8" s="17"/>
      <c r="K8" s="16"/>
      <c r="L8" s="21"/>
      <c r="M8" s="62"/>
      <c r="N8" s="19"/>
      <c r="O8" s="16"/>
      <c r="P8" s="16"/>
      <c r="Q8" s="16"/>
      <c r="R8" s="29"/>
    </row>
    <row r="9" spans="1:19" x14ac:dyDescent="0.25">
      <c r="A9" s="1" t="s">
        <v>12</v>
      </c>
      <c r="B9" s="28"/>
      <c r="C9" s="16"/>
      <c r="D9" s="16"/>
      <c r="E9" s="21"/>
      <c r="F9" s="62"/>
      <c r="G9" s="19"/>
      <c r="H9" s="16"/>
      <c r="I9" s="16"/>
      <c r="J9" s="16"/>
      <c r="K9" s="18"/>
      <c r="L9" s="21"/>
      <c r="M9" s="62"/>
      <c r="N9" s="19"/>
      <c r="O9" s="16"/>
      <c r="P9" s="16"/>
      <c r="Q9" s="16"/>
      <c r="R9" s="29"/>
    </row>
    <row r="10" spans="1:19" x14ac:dyDescent="0.25">
      <c r="A10" s="1" t="s">
        <v>11</v>
      </c>
      <c r="B10" s="28"/>
      <c r="C10" s="16"/>
      <c r="D10" s="16"/>
      <c r="E10" s="21"/>
      <c r="F10" s="62"/>
      <c r="G10" s="19"/>
      <c r="H10" s="16"/>
      <c r="I10" s="16"/>
      <c r="J10" s="16"/>
      <c r="K10" s="17"/>
      <c r="L10" s="21"/>
      <c r="M10" s="62"/>
      <c r="N10" s="20"/>
      <c r="O10" s="16"/>
      <c r="P10" s="16"/>
      <c r="Q10" s="16"/>
      <c r="R10" s="29"/>
    </row>
    <row r="11" spans="1:19" x14ac:dyDescent="0.25">
      <c r="A11" s="1" t="s">
        <v>13</v>
      </c>
      <c r="B11" s="28"/>
      <c r="C11" s="16"/>
      <c r="D11" s="16"/>
      <c r="E11" s="21"/>
      <c r="F11" s="62"/>
      <c r="G11" s="19"/>
      <c r="H11" s="16"/>
      <c r="I11" s="16"/>
      <c r="J11" s="16"/>
      <c r="K11" s="16"/>
      <c r="L11" s="21"/>
      <c r="M11" s="62"/>
      <c r="N11" s="19"/>
      <c r="O11" s="17"/>
      <c r="P11" s="16"/>
      <c r="Q11" s="16"/>
      <c r="R11" s="29"/>
    </row>
    <row r="12" spans="1:19" x14ac:dyDescent="0.25">
      <c r="A12" s="1" t="s">
        <v>15</v>
      </c>
      <c r="B12" s="28"/>
      <c r="C12" s="16"/>
      <c r="D12" s="16"/>
      <c r="E12" s="21"/>
      <c r="F12" s="62"/>
      <c r="G12" s="19"/>
      <c r="H12" s="16"/>
      <c r="I12" s="16"/>
      <c r="J12" s="16"/>
      <c r="K12" s="16"/>
      <c r="L12" s="21"/>
      <c r="M12" s="62"/>
      <c r="N12" s="19"/>
      <c r="O12" s="16"/>
      <c r="P12" s="17"/>
      <c r="Q12" s="16"/>
      <c r="R12" s="29"/>
    </row>
    <row r="13" spans="1:19" x14ac:dyDescent="0.25">
      <c r="A13" s="1" t="s">
        <v>17</v>
      </c>
      <c r="B13" s="30"/>
      <c r="C13" s="31"/>
      <c r="D13" s="32"/>
      <c r="E13" s="33"/>
      <c r="F13" s="63"/>
      <c r="G13" s="34"/>
      <c r="H13" s="31"/>
      <c r="I13" s="31"/>
      <c r="J13" s="31"/>
      <c r="K13" s="31"/>
      <c r="L13" s="33"/>
      <c r="M13" s="63"/>
      <c r="N13" s="34"/>
      <c r="O13" s="31"/>
      <c r="P13" s="31"/>
      <c r="Q13" s="35"/>
      <c r="R13" s="36"/>
    </row>
    <row r="16" spans="1:19" ht="19.5" x14ac:dyDescent="0.35">
      <c r="A16" s="82" t="s">
        <v>25</v>
      </c>
      <c r="B16" s="84"/>
    </row>
    <row r="17" spans="1:2" x14ac:dyDescent="0.25">
      <c r="A17" s="50" t="s">
        <v>28</v>
      </c>
      <c r="B17" s="44">
        <f>'Diagrama de atividades'!C21</f>
        <v>17</v>
      </c>
    </row>
    <row r="18" spans="1:2" x14ac:dyDescent="0.25">
      <c r="A18" s="50" t="s">
        <v>32</v>
      </c>
      <c r="B18" s="44">
        <f ca="1">'Diagrama de atividades'!C22</f>
        <v>13</v>
      </c>
    </row>
    <row r="19" spans="1:2" x14ac:dyDescent="0.25">
      <c r="A19" s="51" t="s">
        <v>20</v>
      </c>
      <c r="B19" s="49">
        <f>'Diagrama de atividades'!C23</f>
        <v>10651.428571428572</v>
      </c>
    </row>
  </sheetData>
  <mergeCells count="1">
    <mergeCell ref="A16:B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Diagrama de atividades</vt:lpstr>
      <vt:lpstr>Gráfico de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de Jesus</dc:creator>
  <cp:lastModifiedBy>Felipe de Jesus</cp:lastModifiedBy>
  <dcterms:created xsi:type="dcterms:W3CDTF">2025-09-03T02:22:00Z</dcterms:created>
  <dcterms:modified xsi:type="dcterms:W3CDTF">2025-09-05T13:23:00Z</dcterms:modified>
</cp:coreProperties>
</file>