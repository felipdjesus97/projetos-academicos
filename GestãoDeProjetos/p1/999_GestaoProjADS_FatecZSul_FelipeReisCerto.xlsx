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pe\Documents\MEGA\FATEC\6° semestre\Gestão de Projetos\p1\"/>
    </mc:Choice>
  </mc:AlternateContent>
  <xr:revisionPtr revIDLastSave="0" documentId="13_ncr:1_{FF0D060C-C1FB-4BA4-91E5-62FFF5D88088}" xr6:coauthVersionLast="47" xr6:coauthVersionMax="47" xr10:uidLastSave="{00000000-0000-0000-0000-000000000000}"/>
  <bookViews>
    <workbookView xWindow="-120" yWindow="-120" windowWidth="20640" windowHeight="11760" activeTab="5" xr2:uid="{00000000-000D-0000-FFFF-FFFF00000000}"/>
  </bookViews>
  <sheets>
    <sheet name="Id" sheetId="1" r:id="rId1"/>
    <sheet name="Q1" sheetId="2" r:id="rId2"/>
    <sheet name="Q2" sheetId="3" r:id="rId3"/>
    <sheet name="Q3" sheetId="4" r:id="rId4"/>
    <sheet name="Q4" sheetId="6" r:id="rId5"/>
    <sheet name="Q5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9" i="5" l="1"/>
  <c r="L6" i="5"/>
  <c r="F19" i="5" s="1"/>
  <c r="L3" i="5"/>
  <c r="S3" i="5"/>
  <c r="G27" i="5"/>
  <c r="I27" i="5" s="1"/>
  <c r="G26" i="5"/>
  <c r="I26" i="5" s="1"/>
  <c r="G24" i="5"/>
  <c r="G25" i="5"/>
  <c r="I25" i="5"/>
  <c r="I24" i="5"/>
  <c r="G23" i="5"/>
  <c r="I23" i="5" s="1"/>
  <c r="G22" i="5"/>
  <c r="G20" i="5"/>
  <c r="G21" i="5"/>
  <c r="I21" i="5"/>
  <c r="I20" i="5"/>
  <c r="I19" i="5"/>
  <c r="F27" i="5"/>
  <c r="F26" i="5"/>
  <c r="F25" i="5"/>
  <c r="F24" i="5"/>
  <c r="F23" i="5"/>
  <c r="F22" i="5"/>
  <c r="F21" i="5"/>
  <c r="F20" i="5"/>
  <c r="I22" i="5"/>
  <c r="AB6" i="5"/>
  <c r="X11" i="5"/>
  <c r="X6" i="5"/>
  <c r="P21" i="5"/>
  <c r="T6" i="5"/>
  <c r="P16" i="5"/>
  <c r="P6" i="5"/>
  <c r="P11" i="5"/>
  <c r="C25" i="5"/>
  <c r="C24" i="5"/>
  <c r="C23" i="5"/>
  <c r="C22" i="5"/>
  <c r="C21" i="5"/>
  <c r="C20" i="5"/>
  <c r="C19" i="5"/>
  <c r="C18" i="5"/>
  <c r="C17" i="5"/>
  <c r="C16" i="5"/>
  <c r="C15" i="5"/>
  <c r="C14" i="5"/>
  <c r="AB35" i="4"/>
  <c r="M3" i="5"/>
  <c r="O18" i="5" s="1"/>
  <c r="S28" i="6"/>
  <c r="J13" i="6"/>
  <c r="K13" i="6" s="1"/>
  <c r="J8" i="6"/>
  <c r="L8" i="6" s="1"/>
  <c r="K8" i="6" s="1"/>
  <c r="J3" i="6"/>
  <c r="L3" i="6" s="1"/>
  <c r="L13" i="6"/>
  <c r="H8" i="6"/>
  <c r="H3" i="6"/>
  <c r="G8" i="6"/>
  <c r="F8" i="6"/>
  <c r="G3" i="6"/>
  <c r="C3" i="6"/>
  <c r="D3" i="6"/>
  <c r="F3" i="6"/>
  <c r="D3" i="4"/>
  <c r="C3" i="4"/>
  <c r="L16" i="6"/>
  <c r="L11" i="6"/>
  <c r="L6" i="6"/>
  <c r="H11" i="6"/>
  <c r="H6" i="6"/>
  <c r="D6" i="6"/>
  <c r="K16" i="6"/>
  <c r="K11" i="6"/>
  <c r="K6" i="6"/>
  <c r="G11" i="6"/>
  <c r="G6" i="6"/>
  <c r="C6" i="6"/>
  <c r="S11" i="6"/>
  <c r="S6" i="6"/>
  <c r="S7" i="6"/>
  <c r="S8" i="6"/>
  <c r="S9" i="6"/>
  <c r="S10" i="6"/>
  <c r="S5" i="6"/>
  <c r="R10" i="6"/>
  <c r="R9" i="6"/>
  <c r="R8" i="6"/>
  <c r="R6" i="6"/>
  <c r="R7" i="6"/>
  <c r="R5" i="6"/>
  <c r="Q10" i="6"/>
  <c r="Q9" i="6"/>
  <c r="Q8" i="6"/>
  <c r="Q7" i="6"/>
  <c r="Q6" i="6"/>
  <c r="Q5" i="6"/>
  <c r="P10" i="6"/>
  <c r="P9" i="6"/>
  <c r="P8" i="6"/>
  <c r="P7" i="6"/>
  <c r="P6" i="6"/>
  <c r="P5" i="6"/>
  <c r="AB18" i="6"/>
  <c r="AB16" i="6"/>
  <c r="AB15" i="6"/>
  <c r="AB13" i="6"/>
  <c r="AB11" i="6"/>
  <c r="AB9" i="6"/>
  <c r="AB7" i="6"/>
  <c r="AB5" i="6"/>
  <c r="AB4" i="6"/>
  <c r="AC35" i="4"/>
  <c r="I28" i="5" l="1"/>
  <c r="Q18" i="5"/>
  <c r="P18" i="5"/>
  <c r="O3" i="5"/>
  <c r="O8" i="5"/>
  <c r="O13" i="5"/>
  <c r="K3" i="6"/>
  <c r="AE43" i="4"/>
  <c r="AB42" i="4"/>
  <c r="AB41" i="4"/>
  <c r="AB38" i="4"/>
  <c r="AB37" i="4"/>
  <c r="AE27" i="4"/>
  <c r="S6" i="4"/>
  <c r="AB43" i="4" s="1"/>
  <c r="O11" i="4"/>
  <c r="O6" i="4"/>
  <c r="K6" i="4"/>
  <c r="AB40" i="4" s="1"/>
  <c r="L1" i="4"/>
  <c r="G21" i="4"/>
  <c r="AB39" i="4" s="1"/>
  <c r="G16" i="4"/>
  <c r="G11" i="4"/>
  <c r="G6" i="4"/>
  <c r="AB36" i="4" s="1"/>
  <c r="C6" i="4"/>
  <c r="W37" i="4"/>
  <c r="AC36" i="4" s="1"/>
  <c r="AE36" i="4" s="1"/>
  <c r="W36" i="4"/>
  <c r="W35" i="4"/>
  <c r="AC40" i="4" s="1"/>
  <c r="AE40" i="4" s="1"/>
  <c r="W34" i="4"/>
  <c r="W33" i="4"/>
  <c r="AC37" i="4" s="1"/>
  <c r="AE37" i="4" s="1"/>
  <c r="W32" i="4"/>
  <c r="W31" i="4"/>
  <c r="W30" i="4"/>
  <c r="W29" i="4"/>
  <c r="W28" i="4"/>
  <c r="W27" i="4"/>
  <c r="AE35" i="4" s="1"/>
  <c r="W26" i="4"/>
  <c r="AC43" i="4" s="1"/>
  <c r="F13" i="4"/>
  <c r="H13" i="4" s="1"/>
  <c r="J3" i="4" s="1"/>
  <c r="L3" i="4" s="1"/>
  <c r="Q8" i="5" l="1"/>
  <c r="P8" i="5" s="1"/>
  <c r="Q3" i="5"/>
  <c r="P3" i="5" s="1"/>
  <c r="Q13" i="5"/>
  <c r="AC38" i="4"/>
  <c r="AE38" i="4" s="1"/>
  <c r="AC41" i="4"/>
  <c r="AE41" i="4" s="1"/>
  <c r="AC39" i="4"/>
  <c r="AE39" i="4" s="1"/>
  <c r="AE44" i="4" s="1"/>
  <c r="AC42" i="4"/>
  <c r="AE42" i="4" s="1"/>
  <c r="F8" i="4"/>
  <c r="H8" i="4" s="1"/>
  <c r="G8" i="4" s="1"/>
  <c r="N3" i="4"/>
  <c r="P3" i="4" s="1"/>
  <c r="N8" i="4"/>
  <c r="P8" i="4" s="1"/>
  <c r="R3" i="4" s="1"/>
  <c r="T3" i="4" s="1"/>
  <c r="K3" i="4"/>
  <c r="F18" i="4"/>
  <c r="H18" i="4" s="1"/>
  <c r="F3" i="4"/>
  <c r="G13" i="4"/>
  <c r="P13" i="5" l="1"/>
  <c r="U3" i="5"/>
  <c r="T3" i="5"/>
  <c r="O8" i="4"/>
  <c r="O3" i="4"/>
  <c r="S3" i="4"/>
  <c r="G18" i="4"/>
  <c r="H3" i="4"/>
  <c r="G3" i="4" s="1"/>
  <c r="W8" i="5" l="1"/>
  <c r="W3" i="5"/>
  <c r="Y3" i="5" l="1"/>
  <c r="X3" i="5" s="1"/>
  <c r="Y8" i="5"/>
  <c r="AA3" i="5" s="1"/>
  <c r="AC3" i="5" l="1"/>
  <c r="AB3" i="5" s="1"/>
  <c r="X8" i="5"/>
  <c r="B1" i="5" l="1"/>
  <c r="A1" i="4"/>
  <c r="N1" i="6"/>
  <c r="B1" i="3"/>
  <c r="B1" i="2"/>
  <c r="H1" i="1" l="1"/>
</calcChain>
</file>

<file path=xl/sharedStrings.xml><?xml version="1.0" encoding="utf-8"?>
<sst xmlns="http://schemas.openxmlformats.org/spreadsheetml/2006/main" count="226" uniqueCount="161">
  <si>
    <t>Fatec Zona Sul</t>
  </si>
  <si>
    <t>Gestão de Projetos</t>
  </si>
  <si>
    <t>Prof. Carlos Giordano</t>
  </si>
  <si>
    <t>Nome:</t>
  </si>
  <si>
    <t>RA:</t>
  </si>
  <si>
    <t>Atenção: Valor da atividade: 10,5. Nota máxima 10,0, sem saldo para as atividades posteriores.</t>
  </si>
  <si>
    <t>Atenção: A atividade P1 é um Projeto com data e hora de entrega. Atrasos geram descontos referentes às multas pertinentes.</t>
  </si>
  <si>
    <t>Valor</t>
  </si>
  <si>
    <t xml:space="preserve">  Quando mensal, para calcular o custo dia, dividir por 30.</t>
  </si>
  <si>
    <t xml:space="preserve">Pede-se: </t>
  </si>
  <si>
    <t>a)</t>
  </si>
  <si>
    <t>b)</t>
  </si>
  <si>
    <t>A duração do Projeto em dias seguidos, sem calendário.</t>
  </si>
  <si>
    <t>c)</t>
  </si>
  <si>
    <t>ao meio dia (ver calendário).</t>
  </si>
  <si>
    <t>d)</t>
  </si>
  <si>
    <t>e)</t>
  </si>
  <si>
    <t>O Custo do Projeto, utilizando só um Recurso em cada Tarefa.</t>
  </si>
  <si>
    <t>f)</t>
  </si>
  <si>
    <t>Obs.: elaborar na planilha todos os cálculos pertinentes.</t>
  </si>
  <si>
    <t xml:space="preserve">  Quando quinzenal, para calcular o custo dia, dividir por 15.</t>
  </si>
  <si>
    <t>Detalhamento:</t>
  </si>
  <si>
    <t xml:space="preserve">  Quando semanal, para calcular o custo dia, dividir por 7.</t>
  </si>
  <si>
    <t>A empresa trabalha 8 horas por dia, não trabalha aos sábados, domingos e feriados.</t>
  </si>
  <si>
    <t>3. Aguardar a confirmação do recebimento.</t>
  </si>
  <si>
    <t>O segundo Quadro mostra os Custos dos Recursos.</t>
  </si>
  <si>
    <t>1. Após responder, enviar para giordanofatec@yahoo.com.br.</t>
  </si>
  <si>
    <t>giordanofatec@yahoo.com.br</t>
  </si>
  <si>
    <t>Se há tarefas em paralelo deve-se ter atenção especial na alocação dos recursos, evitando superalocações.</t>
  </si>
  <si>
    <t>Deve-se elaborar simulações a fim de alocar o recurso adequado à tarefa, observando o custo do recurso e o tempo que o recurso completará a tarefa.</t>
  </si>
  <si>
    <t>Obs.: elaborar na planilha todos os diagramas e cálculos pertinentes.</t>
  </si>
  <si>
    <r>
      <t xml:space="preserve">O Diagrama de Rede </t>
    </r>
    <r>
      <rPr>
        <sz val="11"/>
        <color theme="1"/>
        <rFont val="Arial Rounded MT Bold"/>
        <family val="2"/>
      </rPr>
      <t>do Projeto.</t>
    </r>
  </si>
  <si>
    <t>Identificar a quantidade de dias de folga em cada Tarefa com Folga.</t>
  </si>
  <si>
    <t>Materiais para elaboração fornecidos (setas, retas etc.)</t>
  </si>
  <si>
    <t>O primeiro Quadro se refere ao Projeto Venda App da empresa Qrovender Ltda (duração em dias).</t>
  </si>
  <si>
    <t>I. Assinalar as afirmações abaixo, grafando F para Falso ou V para Verdadeiro:</t>
  </si>
  <si>
    <r>
      <t xml:space="preserve">Se existirem, selecionar </t>
    </r>
    <r>
      <rPr>
        <u/>
        <sz val="11"/>
        <color theme="1"/>
        <rFont val="Arial Rounded MT Bold"/>
        <family val="2"/>
      </rPr>
      <t>DUAS</t>
    </r>
    <r>
      <rPr>
        <sz val="11"/>
        <color theme="1"/>
        <rFont val="Arial Rounded MT Bold"/>
        <family val="2"/>
      </rPr>
      <t xml:space="preserve"> das respostas assinaladas como </t>
    </r>
    <r>
      <rPr>
        <u/>
        <sz val="11"/>
        <color theme="1"/>
        <rFont val="Arial Rounded MT Bold"/>
        <family val="2"/>
      </rPr>
      <t>F</t>
    </r>
    <r>
      <rPr>
        <sz val="11"/>
        <color theme="1"/>
        <rFont val="Arial Rounded MT Bold"/>
        <family val="2"/>
      </rPr>
      <t xml:space="preserve"> na Q1, corrigi-las e explicar detalhadamente o porquê da assinalação como </t>
    </r>
    <r>
      <rPr>
        <u/>
        <sz val="11"/>
        <color theme="1"/>
        <rFont val="Arial Rounded MT Bold"/>
        <family val="2"/>
      </rPr>
      <t>Falsa.</t>
    </r>
  </si>
  <si>
    <t>Resposta 1:</t>
  </si>
  <si>
    <t>Resposta 2:</t>
  </si>
  <si>
    <t>Depois de elaborada a primeira versão (em Q3), o Patrocinador pede, até o possível</t>
  </si>
  <si>
    <t>Pede-se:</t>
  </si>
  <si>
    <t>detalhadamente as alterações feitas.</t>
  </si>
  <si>
    <r>
      <t xml:space="preserve">Apresentar a duração e o custo da melhor </t>
    </r>
    <r>
      <rPr>
        <u/>
        <sz val="11"/>
        <color theme="1"/>
        <rFont val="Arial Rounded MT Bold"/>
        <family val="2"/>
      </rPr>
      <t>segunda</t>
    </r>
    <r>
      <rPr>
        <sz val="11"/>
        <color theme="1"/>
        <rFont val="Arial Rounded MT Bold"/>
        <family val="2"/>
      </rPr>
      <t xml:space="preserve"> versão, bem como descrever </t>
    </r>
  </si>
  <si>
    <t>Recurso</t>
  </si>
  <si>
    <t>Competente Tarefa</t>
  </si>
  <si>
    <t>Entrega em/horas</t>
  </si>
  <si>
    <t>Custo RH</t>
  </si>
  <si>
    <t>Base</t>
  </si>
  <si>
    <t>Custo/Hora</t>
  </si>
  <si>
    <t>Hora</t>
  </si>
  <si>
    <t>Dia</t>
  </si>
  <si>
    <t>Mês</t>
  </si>
  <si>
    <t>Semana</t>
  </si>
  <si>
    <t>Quinzena</t>
  </si>
  <si>
    <t>Resultado</t>
  </si>
  <si>
    <t>Dia/8</t>
  </si>
  <si>
    <t>Semana/7</t>
  </si>
  <si>
    <t>Quinzena/15</t>
  </si>
  <si>
    <t>Mês/30</t>
  </si>
  <si>
    <t>tarefas em que os recursos são competentes, a entrega em</t>
  </si>
  <si>
    <t>horas e o custo informado pelo RH.</t>
  </si>
  <si>
    <t xml:space="preserve">- Observar o Diagrama de Rede composto por 6 Tarefas, </t>
  </si>
  <si>
    <t>- Observar o Quadro mostrando os recursos disponíveis, as</t>
  </si>
  <si>
    <t xml:space="preserve">1. Alocar os recursos nas Tarefas visando ao final </t>
  </si>
  <si>
    <t>Tarefa</t>
  </si>
  <si>
    <t>RH Alocado</t>
  </si>
  <si>
    <t>Horas Alocadas</t>
  </si>
  <si>
    <t>Custo da Tarefa</t>
  </si>
  <si>
    <t>Custo RH/h</t>
  </si>
  <si>
    <t>Total</t>
  </si>
  <si>
    <t>Tabela</t>
  </si>
  <si>
    <t>T1</t>
  </si>
  <si>
    <t>T2</t>
  </si>
  <si>
    <t>T3</t>
  </si>
  <si>
    <t>T4</t>
  </si>
  <si>
    <t>T5</t>
  </si>
  <si>
    <t>T6</t>
  </si>
  <si>
    <t>2. Informar o total de dias corridos do projeto.</t>
  </si>
  <si>
    <t>3. Criar Tabela em que se detalham a alocação do</t>
  </si>
  <si>
    <t xml:space="preserve">      recurso e o custo de cada Tarefa.</t>
  </si>
  <si>
    <t>Preencher o nome e RA na Planilha Id, células C9 e C10</t>
  </si>
  <si>
    <t>O Gerente de Projetos para melhor distribuir os recursos humanos nos projetos deve combinar os recursos das tarefas com folga para utilizá-los nas tarefas do caminho crítico.</t>
  </si>
  <si>
    <t>Dependendo da necessidade, Tarefas com Folga podem se tornar Tarefas do Caminho Crítico.</t>
  </si>
  <si>
    <t>A empresa não emenda feriados.</t>
  </si>
  <si>
    <t>Identificação e porcentagem das Tarefas do Caminho Crítico e das Tarefas com Folga.</t>
  </si>
  <si>
    <t>atentando para as precedências e durações em horas corridas.</t>
  </si>
  <si>
    <t xml:space="preserve">     a menor duração. Alocar um recurso por Tarefa.</t>
  </si>
  <si>
    <t xml:space="preserve">     em que dia e hora do dia será encerrado?</t>
  </si>
  <si>
    <t>4. Apresentar na Tabela criada o custo Total.</t>
  </si>
  <si>
    <t>6. identificar as tarefas do caminho crítico e com folga.</t>
  </si>
  <si>
    <t>e se factível, a redução em até 5,5 dias, independentemente do custo.</t>
  </si>
  <si>
    <t>Atividade P1 - 2S2025</t>
  </si>
  <si>
    <r>
      <t xml:space="preserve">2. Assunto do e-mail a enviar: </t>
    </r>
    <r>
      <rPr>
        <i/>
        <sz val="11"/>
        <color theme="1"/>
        <rFont val="Arial Rounded MT Bold"/>
        <family val="2"/>
      </rPr>
      <t>P1 Seunome 2S2025</t>
    </r>
    <r>
      <rPr>
        <sz val="11"/>
        <color theme="1"/>
        <rFont val="Arial Rounded MT Bold"/>
        <family val="2"/>
      </rPr>
      <t>.</t>
    </r>
  </si>
  <si>
    <t>Os requisitos são coletados e validados no processo de iniciação influenciando diretamente a alocação de recursos humanos e materiais.</t>
  </si>
  <si>
    <t>A alocação de recursos é feita pela equipe durante os sprints, sem fases tradicionais.</t>
  </si>
  <si>
    <t>O calendário dos recursos é integrado ao Quadro Kanban para otimizar tarefas em paralelo.</t>
  </si>
  <si>
    <t>No caso da New Millenium, após a verificação da não inclusão de Atividades ao Projeto, quando a Leslie diz ao Alex que “mesmo assim espero que você se atenha ao mesmo prazo final e às restrições orçamentárias”, esse pedido pode ser atendido prontamente.</t>
  </si>
  <si>
    <t>A data e o período do dia do início do Projeto, tendo como data da entrega 28/11/2025,</t>
  </si>
  <si>
    <t xml:space="preserve">5. Iniciando o Projeto no dia 03/11/2025, pela manhã, </t>
  </si>
  <si>
    <t>7. Informar a porcentagem de Tarefas Críticas do</t>
  </si>
  <si>
    <t xml:space="preserve">     Projeto e a criticidade do Projeto.</t>
  </si>
  <si>
    <t>Data e hora da entrega: até 03/10/2025, às 10h30</t>
  </si>
  <si>
    <t>Clarice</t>
  </si>
  <si>
    <t>Cecília</t>
  </si>
  <si>
    <t>Djamila</t>
  </si>
  <si>
    <t>Lygia</t>
  </si>
  <si>
    <t>Rachel</t>
  </si>
  <si>
    <t>Hilda</t>
  </si>
  <si>
    <t>Carolina</t>
  </si>
  <si>
    <t>Cora</t>
  </si>
  <si>
    <t>Firmina</t>
  </si>
  <si>
    <t>Felipe de Jesus dos Reis</t>
  </si>
  <si>
    <t>1370482421013</t>
  </si>
  <si>
    <t>V</t>
  </si>
  <si>
    <t>F</t>
  </si>
  <si>
    <t>O caminho crítico mostra atividades sem folga e que determinam a duração do projeto. As com folga não são priorizadas, são as sem folga.</t>
  </si>
  <si>
    <t>*A duração total do projeto se calcula somando as durações das tarefas do caminho crítico e as durações das tarefas com folga.</t>
  </si>
  <si>
    <t>*O caminho crítico é calculado para identificar tarefas com folga, priorizando-as no cronograma.</t>
  </si>
  <si>
    <t>A duração total do projeto é determinada somente pelas tarefas do caminho crítico.</t>
  </si>
  <si>
    <t>A</t>
  </si>
  <si>
    <t>RECURSO</t>
  </si>
  <si>
    <t>Select</t>
  </si>
  <si>
    <t>Version</t>
  </si>
  <si>
    <t>Parse</t>
  </si>
  <si>
    <t>Cursor</t>
  </si>
  <si>
    <t>Datetime</t>
  </si>
  <si>
    <t>Choose</t>
  </si>
  <si>
    <t>From</t>
  </si>
  <si>
    <t>Where</t>
  </si>
  <si>
    <t>Use</t>
  </si>
  <si>
    <t>Order</t>
  </si>
  <si>
    <t>Dbld</t>
  </si>
  <si>
    <t>UserId</t>
  </si>
  <si>
    <t>CUSTO/HORA</t>
  </si>
  <si>
    <t>B</t>
  </si>
  <si>
    <t>C</t>
  </si>
  <si>
    <t>D</t>
  </si>
  <si>
    <t>E</t>
  </si>
  <si>
    <t>H</t>
  </si>
  <si>
    <t>G</t>
  </si>
  <si>
    <t>I</t>
  </si>
  <si>
    <t>16,5 dias</t>
  </si>
  <si>
    <t xml:space="preserve">Tarefas do Caminho Crítico: </t>
  </si>
  <si>
    <t>% Tarefas do caminho crítico:</t>
  </si>
  <si>
    <t>1;4;6;8;9</t>
  </si>
  <si>
    <t>2(4*);3(2*);5(*1);7(1)</t>
  </si>
  <si>
    <t xml:space="preserve">Tarefas com Folga (dias com Folga): </t>
  </si>
  <si>
    <t>pela manhã as 08h00</t>
  </si>
  <si>
    <t>Outros Custos</t>
  </si>
  <si>
    <t>Custo T RH</t>
  </si>
  <si>
    <t>A data do início:</t>
  </si>
  <si>
    <t>A duração do Projeto em dias seguidos:</t>
  </si>
  <si>
    <t>1;2;3;4</t>
  </si>
  <si>
    <t>5(*1,5);7(*0,5)</t>
  </si>
  <si>
    <t xml:space="preserve">Tarefas com Folga horas com Folga): </t>
  </si>
  <si>
    <t>A data do fim:</t>
  </si>
  <si>
    <t>pela tarde as 13h30</t>
  </si>
  <si>
    <t>1 dia</t>
  </si>
  <si>
    <t>9,5 dias</t>
  </si>
  <si>
    <t>por exemplo, uma tarefa que durava 4 dias para ser concluida, começa agora a durar 2 dias com duas pessoas realizando a mesma</t>
  </si>
  <si>
    <t>Eu aloquei 2 recursos nas tarefas 1;3;4;5;7;8 redezuindo assim pela metade a duração das mesmas tarefas,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</si>
</sst>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0.0"/>
    <numFmt numFmtId="165" formatCode="0.0%"/>
  </numFmts>
  <fonts count="8" x14ac:knownFonts="1">
    <font>
      <sz val="11"/>
      <color theme="1"/>
      <name val="Arial Rounded MT Bold"/>
      <family val="2"/>
    </font>
    <font>
      <i/>
      <sz val="11"/>
      <color theme="1"/>
      <name val="Arial Rounded MT Bold"/>
      <family val="2"/>
    </font>
    <font>
      <b/>
      <sz val="11"/>
      <color rgb="FFFF0000"/>
      <name val="Arial Rounded MT Bold"/>
      <family val="2"/>
    </font>
    <font>
      <sz val="11"/>
      <color theme="1"/>
      <name val="Arial Rounded MT Bold"/>
      <family val="2"/>
    </font>
    <font>
      <sz val="11"/>
      <color rgb="FFFF0000"/>
      <name val="Arial Rounded MT Bold"/>
      <family val="2"/>
    </font>
    <font>
      <u/>
      <sz val="11"/>
      <color theme="1"/>
      <name val="Arial Rounded MT Bold"/>
      <family val="2"/>
    </font>
    <font>
      <b/>
      <sz val="10"/>
      <color theme="1"/>
      <name val="Arial Rounded MT Bold"/>
      <family val="2"/>
    </font>
    <font>
      <sz val="11"/>
      <color rgb="FF002060"/>
      <name val="Arial Rounded MT Bold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09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0" xfId="0" applyFill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 applyAlignment="1">
      <alignment horizontal="left" vertical="top"/>
    </xf>
    <xf numFmtId="0" fontId="0" fillId="5" borderId="0" xfId="0" applyFill="1" applyAlignment="1">
      <alignment horizontal="center"/>
    </xf>
    <xf numFmtId="164" fontId="0" fillId="5" borderId="0" xfId="0" applyNumberFormat="1" applyFill="1" applyAlignment="1">
      <alignment horizontal="center"/>
    </xf>
    <xf numFmtId="44" fontId="0" fillId="0" borderId="0" xfId="1" applyFont="1"/>
    <xf numFmtId="0" fontId="4" fillId="0" borderId="0" xfId="0" applyFont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44" fontId="0" fillId="0" borderId="10" xfId="1" applyFont="1" applyBorder="1"/>
    <xf numFmtId="44" fontId="0" fillId="0" borderId="10" xfId="1" applyFont="1" applyBorder="1" applyAlignment="1">
      <alignment horizontal="center"/>
    </xf>
    <xf numFmtId="0" fontId="0" fillId="0" borderId="17" xfId="0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44" fontId="0" fillId="0" borderId="10" xfId="1" applyFont="1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0" xfId="0" quotePrefix="1"/>
    <xf numFmtId="0" fontId="0" fillId="0" borderId="1" xfId="0" applyBorder="1"/>
    <xf numFmtId="0" fontId="0" fillId="0" borderId="18" xfId="0" applyBorder="1"/>
    <xf numFmtId="0" fontId="0" fillId="0" borderId="26" xfId="0" applyBorder="1"/>
    <xf numFmtId="0" fontId="0" fillId="0" borderId="19" xfId="0" applyBorder="1"/>
    <xf numFmtId="0" fontId="0" fillId="0" borderId="27" xfId="0" applyBorder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2" borderId="1" xfId="0" applyFont="1" applyFill="1" applyBorder="1"/>
    <xf numFmtId="49" fontId="0" fillId="2" borderId="1" xfId="0" applyNumberFormat="1" applyFont="1" applyFill="1" applyBorder="1" applyAlignment="1">
      <alignment horizontal="left" vertical="top"/>
    </xf>
    <xf numFmtId="0" fontId="6" fillId="0" borderId="1" xfId="0" applyFont="1" applyBorder="1" applyAlignment="1">
      <alignment horizontal="center" vertical="center"/>
    </xf>
    <xf numFmtId="164" fontId="0" fillId="0" borderId="1" xfId="0" applyNumberFormat="1" applyBorder="1"/>
    <xf numFmtId="44" fontId="0" fillId="0" borderId="1" xfId="0" applyNumberFormat="1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/>
    <xf numFmtId="14" fontId="0" fillId="4" borderId="8" xfId="0" applyNumberForma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" xfId="0" applyFill="1" applyBorder="1" applyAlignment="1">
      <alignment horizontal="left"/>
    </xf>
    <xf numFmtId="165" fontId="0" fillId="0" borderId="0" xfId="2" applyNumberFormat="1" applyFont="1" applyAlignment="1">
      <alignment horizontal="left"/>
    </xf>
    <xf numFmtId="44" fontId="0" fillId="0" borderId="9" xfId="0" applyNumberFormat="1" applyBorder="1"/>
    <xf numFmtId="44" fontId="0" fillId="0" borderId="8" xfId="0" applyNumberFormat="1" applyBorder="1"/>
    <xf numFmtId="44" fontId="0" fillId="0" borderId="21" xfId="0" applyNumberFormat="1" applyBorder="1"/>
    <xf numFmtId="44" fontId="0" fillId="4" borderId="19" xfId="0" applyNumberFormat="1" applyFill="1" applyBorder="1"/>
    <xf numFmtId="164" fontId="0" fillId="0" borderId="9" xfId="0" applyNumberFormat="1" applyBorder="1"/>
    <xf numFmtId="164" fontId="0" fillId="0" borderId="8" xfId="0" applyNumberFormat="1" applyBorder="1"/>
    <xf numFmtId="164" fontId="4" fillId="0" borderId="1" xfId="0" applyNumberFormat="1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0" fontId="0" fillId="4" borderId="1" xfId="0" applyFill="1" applyBorder="1"/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0" fillId="0" borderId="18" xfId="0" applyBorder="1" applyAlignment="1">
      <alignment horizontal="right"/>
    </xf>
    <xf numFmtId="0" fontId="0" fillId="0" borderId="26" xfId="0" applyBorder="1" applyAlignment="1">
      <alignment horizontal="right"/>
    </xf>
    <xf numFmtId="0" fontId="0" fillId="0" borderId="1" xfId="0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8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0" xfId="0" applyBorder="1" applyAlignment="1">
      <alignment horizontal="left"/>
    </xf>
    <xf numFmtId="165" fontId="0" fillId="4" borderId="28" xfId="2" applyNumberFormat="1" applyFont="1" applyFill="1" applyBorder="1" applyAlignment="1">
      <alignment horizontal="left"/>
    </xf>
    <xf numFmtId="165" fontId="0" fillId="4" borderId="30" xfId="2" applyNumberFormat="1" applyFont="1" applyFill="1" applyBorder="1" applyAlignment="1">
      <alignment horizontal="left"/>
    </xf>
    <xf numFmtId="0" fontId="0" fillId="0" borderId="1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4" fontId="0" fillId="0" borderId="12" xfId="1" applyFont="1" applyBorder="1" applyAlignment="1">
      <alignment horizontal="center" vertical="center"/>
    </xf>
    <xf numFmtId="44" fontId="0" fillId="0" borderId="16" xfId="1" applyFont="1" applyBorder="1" applyAlignment="1">
      <alignment horizontal="center" vertical="center"/>
    </xf>
    <xf numFmtId="44" fontId="0" fillId="0" borderId="14" xfId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4" fontId="0" fillId="4" borderId="2" xfId="0" applyNumberFormat="1" applyFill="1" applyBorder="1" applyAlignment="1">
      <alignment horizontal="center" vertical="center"/>
    </xf>
    <xf numFmtId="14" fontId="0" fillId="4" borderId="4" xfId="0" applyNumberForma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4" borderId="28" xfId="0" applyFill="1" applyBorder="1" applyAlignment="1">
      <alignment horizontal="left"/>
    </xf>
    <xf numFmtId="0" fontId="0" fillId="4" borderId="30" xfId="0" applyFill="1" applyBorder="1" applyAlignment="1">
      <alignment horizontal="left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55569</xdr:colOff>
      <xdr:row>19</xdr:row>
      <xdr:rowOff>81958</xdr:rowOff>
    </xdr:from>
    <xdr:to>
      <xdr:col>20</xdr:col>
      <xdr:colOff>369795</xdr:colOff>
      <xdr:row>29</xdr:row>
      <xdr:rowOff>114098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5275" y="3488546"/>
          <a:ext cx="6522285" cy="18923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33683</xdr:colOff>
      <xdr:row>30</xdr:row>
      <xdr:rowOff>88505</xdr:rowOff>
    </xdr:from>
    <xdr:to>
      <xdr:col>19</xdr:col>
      <xdr:colOff>27939</xdr:colOff>
      <xdr:row>38</xdr:row>
      <xdr:rowOff>28675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6271" y="5545770"/>
          <a:ext cx="7065168" cy="1408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4</xdr:row>
      <xdr:rowOff>0</xdr:rowOff>
    </xdr:from>
    <xdr:to>
      <xdr:col>5</xdr:col>
      <xdr:colOff>-1</xdr:colOff>
      <xdr:row>4</xdr:row>
      <xdr:rowOff>0</xdr:rowOff>
    </xdr:to>
    <xdr:cxnSp macro="">
      <xdr:nvCxnSpPr>
        <xdr:cNvPr id="2" name="Conector de seta reta 3">
          <a:extLst>
            <a:ext uri="{FF2B5EF4-FFF2-40B4-BE49-F238E27FC236}">
              <a16:creationId xmlns:a16="http://schemas.microsoft.com/office/drawing/2014/main" id="{80FF202F-C27C-4D80-B4A3-5BE99C1D8D4A}"/>
            </a:ext>
          </a:extLst>
        </xdr:cNvPr>
        <xdr:cNvCxnSpPr/>
      </xdr:nvCxnSpPr>
      <xdr:spPr>
        <a:xfrm>
          <a:off x="1643063" y="714375"/>
          <a:ext cx="238124" cy="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47624</xdr:colOff>
      <xdr:row>9</xdr:row>
      <xdr:rowOff>35718</xdr:rowOff>
    </xdr:from>
    <xdr:to>
      <xdr:col>5</xdr:col>
      <xdr:colOff>23811</xdr:colOff>
      <xdr:row>9</xdr:row>
      <xdr:rowOff>35718</xdr:rowOff>
    </xdr:to>
    <xdr:cxnSp macro="">
      <xdr:nvCxnSpPr>
        <xdr:cNvPr id="10" name="Conector de seta reta 3">
          <a:extLst>
            <a:ext uri="{FF2B5EF4-FFF2-40B4-BE49-F238E27FC236}">
              <a16:creationId xmlns:a16="http://schemas.microsoft.com/office/drawing/2014/main" id="{FC3B07C5-E2C1-4D12-BD42-4F148E91DCBD}"/>
            </a:ext>
          </a:extLst>
        </xdr:cNvPr>
        <xdr:cNvCxnSpPr/>
      </xdr:nvCxnSpPr>
      <xdr:spPr>
        <a:xfrm>
          <a:off x="1690687" y="1643062"/>
          <a:ext cx="214312" cy="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</xdr:row>
      <xdr:rowOff>0</xdr:rowOff>
    </xdr:from>
    <xdr:to>
      <xdr:col>9</xdr:col>
      <xdr:colOff>47625</xdr:colOff>
      <xdr:row>4</xdr:row>
      <xdr:rowOff>0</xdr:rowOff>
    </xdr:to>
    <xdr:cxnSp macro="">
      <xdr:nvCxnSpPr>
        <xdr:cNvPr id="24" name="Conector de seta reta 3">
          <a:extLst>
            <a:ext uri="{FF2B5EF4-FFF2-40B4-BE49-F238E27FC236}">
              <a16:creationId xmlns:a16="http://schemas.microsoft.com/office/drawing/2014/main" id="{2655DA13-5E8E-47B8-B45B-0F18315D34E0}"/>
            </a:ext>
          </a:extLst>
        </xdr:cNvPr>
        <xdr:cNvCxnSpPr/>
      </xdr:nvCxnSpPr>
      <xdr:spPr>
        <a:xfrm>
          <a:off x="3250406" y="714375"/>
          <a:ext cx="381000" cy="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190500</xdr:colOff>
      <xdr:row>4</xdr:row>
      <xdr:rowOff>11906</xdr:rowOff>
    </xdr:from>
    <xdr:to>
      <xdr:col>8</xdr:col>
      <xdr:colOff>202405</xdr:colOff>
      <xdr:row>19</xdr:row>
      <xdr:rowOff>0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CD813A21-3816-46A6-A7B0-D761EFE00534}"/>
            </a:ext>
          </a:extLst>
        </xdr:cNvPr>
        <xdr:cNvCxnSpPr/>
      </xdr:nvCxnSpPr>
      <xdr:spPr>
        <a:xfrm>
          <a:off x="3440906" y="726281"/>
          <a:ext cx="11905" cy="266700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285751</xdr:colOff>
      <xdr:row>9</xdr:row>
      <xdr:rowOff>59531</xdr:rowOff>
    </xdr:from>
    <xdr:to>
      <xdr:col>8</xdr:col>
      <xdr:colOff>214313</xdr:colOff>
      <xdr:row>9</xdr:row>
      <xdr:rowOff>71437</xdr:rowOff>
    </xdr:to>
    <xdr:cxnSp macro="">
      <xdr:nvCxnSpPr>
        <xdr:cNvPr id="32" name="Conector reto 31">
          <a:extLst>
            <a:ext uri="{FF2B5EF4-FFF2-40B4-BE49-F238E27FC236}">
              <a16:creationId xmlns:a16="http://schemas.microsoft.com/office/drawing/2014/main" id="{5CF80F08-63B6-4C45-95EA-6CCE17047C65}"/>
            </a:ext>
          </a:extLst>
        </xdr:cNvPr>
        <xdr:cNvCxnSpPr/>
      </xdr:nvCxnSpPr>
      <xdr:spPr>
        <a:xfrm>
          <a:off x="3238501" y="1666875"/>
          <a:ext cx="226218" cy="1190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226218</xdr:colOff>
      <xdr:row>14</xdr:row>
      <xdr:rowOff>11906</xdr:rowOff>
    </xdr:to>
    <xdr:cxnSp macro="">
      <xdr:nvCxnSpPr>
        <xdr:cNvPr id="39" name="Conector reto 38">
          <a:extLst>
            <a:ext uri="{FF2B5EF4-FFF2-40B4-BE49-F238E27FC236}">
              <a16:creationId xmlns:a16="http://schemas.microsoft.com/office/drawing/2014/main" id="{F15BDE8D-6EAF-4BBC-8887-8B47812C0D28}"/>
            </a:ext>
          </a:extLst>
        </xdr:cNvPr>
        <xdr:cNvCxnSpPr/>
      </xdr:nvCxnSpPr>
      <xdr:spPr>
        <a:xfrm>
          <a:off x="3250406" y="2500313"/>
          <a:ext cx="226218" cy="1190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19</xdr:row>
      <xdr:rowOff>0</xdr:rowOff>
    </xdr:from>
    <xdr:to>
      <xdr:col>8</xdr:col>
      <xdr:colOff>226218</xdr:colOff>
      <xdr:row>19</xdr:row>
      <xdr:rowOff>11906</xdr:rowOff>
    </xdr:to>
    <xdr:cxnSp macro="">
      <xdr:nvCxnSpPr>
        <xdr:cNvPr id="41" name="Conector reto 40">
          <a:extLst>
            <a:ext uri="{FF2B5EF4-FFF2-40B4-BE49-F238E27FC236}">
              <a16:creationId xmlns:a16="http://schemas.microsoft.com/office/drawing/2014/main" id="{8219BD61-42B5-437D-8AD9-83FE46BA0A5A}"/>
            </a:ext>
          </a:extLst>
        </xdr:cNvPr>
        <xdr:cNvCxnSpPr/>
      </xdr:nvCxnSpPr>
      <xdr:spPr>
        <a:xfrm>
          <a:off x="3250406" y="3393281"/>
          <a:ext cx="226218" cy="1190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59531</xdr:colOff>
      <xdr:row>3</xdr:row>
      <xdr:rowOff>166688</xdr:rowOff>
    </xdr:from>
    <xdr:to>
      <xdr:col>4</xdr:col>
      <xdr:colOff>59531</xdr:colOff>
      <xdr:row>19</xdr:row>
      <xdr:rowOff>23813</xdr:rowOff>
    </xdr:to>
    <xdr:cxnSp macro="">
      <xdr:nvCxnSpPr>
        <xdr:cNvPr id="48" name="Conector reto 47">
          <a:extLst>
            <a:ext uri="{FF2B5EF4-FFF2-40B4-BE49-F238E27FC236}">
              <a16:creationId xmlns:a16="http://schemas.microsoft.com/office/drawing/2014/main" id="{AFCB0D53-9476-4F7A-B122-4773A01765CF}"/>
            </a:ext>
          </a:extLst>
        </xdr:cNvPr>
        <xdr:cNvCxnSpPr/>
      </xdr:nvCxnSpPr>
      <xdr:spPr>
        <a:xfrm>
          <a:off x="1702594" y="702469"/>
          <a:ext cx="0" cy="27146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71436</xdr:colOff>
      <xdr:row>14</xdr:row>
      <xdr:rowOff>0</xdr:rowOff>
    </xdr:from>
    <xdr:to>
      <xdr:col>5</xdr:col>
      <xdr:colOff>47623</xdr:colOff>
      <xdr:row>14</xdr:row>
      <xdr:rowOff>0</xdr:rowOff>
    </xdr:to>
    <xdr:cxnSp macro="">
      <xdr:nvCxnSpPr>
        <xdr:cNvPr id="53" name="Conector de seta reta 3">
          <a:extLst>
            <a:ext uri="{FF2B5EF4-FFF2-40B4-BE49-F238E27FC236}">
              <a16:creationId xmlns:a16="http://schemas.microsoft.com/office/drawing/2014/main" id="{D3D8F57D-5A16-47E2-9E98-9A4F80F6BB53}"/>
            </a:ext>
          </a:extLst>
        </xdr:cNvPr>
        <xdr:cNvCxnSpPr/>
      </xdr:nvCxnSpPr>
      <xdr:spPr>
        <a:xfrm>
          <a:off x="1714499" y="2500313"/>
          <a:ext cx="214312" cy="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59530</xdr:colOff>
      <xdr:row>19</xdr:row>
      <xdr:rowOff>0</xdr:rowOff>
    </xdr:from>
    <xdr:to>
      <xdr:col>5</xdr:col>
      <xdr:colOff>35717</xdr:colOff>
      <xdr:row>19</xdr:row>
      <xdr:rowOff>0</xdr:rowOff>
    </xdr:to>
    <xdr:cxnSp macro="">
      <xdr:nvCxnSpPr>
        <xdr:cNvPr id="54" name="Conector de seta reta 3">
          <a:extLst>
            <a:ext uri="{FF2B5EF4-FFF2-40B4-BE49-F238E27FC236}">
              <a16:creationId xmlns:a16="http://schemas.microsoft.com/office/drawing/2014/main" id="{A8372504-F166-4CDE-949C-7B2D4F324D58}"/>
            </a:ext>
          </a:extLst>
        </xdr:cNvPr>
        <xdr:cNvCxnSpPr/>
      </xdr:nvCxnSpPr>
      <xdr:spPr>
        <a:xfrm>
          <a:off x="1702593" y="3393281"/>
          <a:ext cx="214312" cy="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4</xdr:row>
      <xdr:rowOff>0</xdr:rowOff>
    </xdr:from>
    <xdr:to>
      <xdr:col>13</xdr:col>
      <xdr:colOff>47625</xdr:colOff>
      <xdr:row>4</xdr:row>
      <xdr:rowOff>0</xdr:rowOff>
    </xdr:to>
    <xdr:cxnSp macro="">
      <xdr:nvCxnSpPr>
        <xdr:cNvPr id="55" name="Conector de seta reta 3">
          <a:extLst>
            <a:ext uri="{FF2B5EF4-FFF2-40B4-BE49-F238E27FC236}">
              <a16:creationId xmlns:a16="http://schemas.microsoft.com/office/drawing/2014/main" id="{B4EA8B71-E73F-4434-B044-1EC2C862E2F4}"/>
            </a:ext>
          </a:extLst>
        </xdr:cNvPr>
        <xdr:cNvCxnSpPr/>
      </xdr:nvCxnSpPr>
      <xdr:spPr>
        <a:xfrm>
          <a:off x="3250406" y="714375"/>
          <a:ext cx="381000" cy="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142875</xdr:colOff>
      <xdr:row>9</xdr:row>
      <xdr:rowOff>0</xdr:rowOff>
    </xdr:from>
    <xdr:to>
      <xdr:col>13</xdr:col>
      <xdr:colOff>47625</xdr:colOff>
      <xdr:row>9</xdr:row>
      <xdr:rowOff>11906</xdr:rowOff>
    </xdr:to>
    <xdr:cxnSp macro="">
      <xdr:nvCxnSpPr>
        <xdr:cNvPr id="56" name="Conector de seta reta 3">
          <a:extLst>
            <a:ext uri="{FF2B5EF4-FFF2-40B4-BE49-F238E27FC236}">
              <a16:creationId xmlns:a16="http://schemas.microsoft.com/office/drawing/2014/main" id="{D3CBB664-7C12-4786-94AF-21DAC2063E43}"/>
            </a:ext>
          </a:extLst>
        </xdr:cNvPr>
        <xdr:cNvCxnSpPr/>
      </xdr:nvCxnSpPr>
      <xdr:spPr>
        <a:xfrm flipV="1">
          <a:off x="5429250" y="1607344"/>
          <a:ext cx="238125" cy="11906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142875</xdr:colOff>
      <xdr:row>4</xdr:row>
      <xdr:rowOff>0</xdr:rowOff>
    </xdr:from>
    <xdr:to>
      <xdr:col>12</xdr:col>
      <xdr:colOff>154781</xdr:colOff>
      <xdr:row>9</xdr:row>
      <xdr:rowOff>0</xdr:rowOff>
    </xdr:to>
    <xdr:cxnSp macro="">
      <xdr:nvCxnSpPr>
        <xdr:cNvPr id="59" name="Conector reto 58">
          <a:extLst>
            <a:ext uri="{FF2B5EF4-FFF2-40B4-BE49-F238E27FC236}">
              <a16:creationId xmlns:a16="http://schemas.microsoft.com/office/drawing/2014/main" id="{308014FC-E07B-4DA1-9006-00342426DAFB}"/>
            </a:ext>
          </a:extLst>
        </xdr:cNvPr>
        <xdr:cNvCxnSpPr/>
      </xdr:nvCxnSpPr>
      <xdr:spPr>
        <a:xfrm>
          <a:off x="5429250" y="714375"/>
          <a:ext cx="11906" cy="89296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4</xdr:row>
      <xdr:rowOff>0</xdr:rowOff>
    </xdr:from>
    <xdr:to>
      <xdr:col>17</xdr:col>
      <xdr:colOff>47625</xdr:colOff>
      <xdr:row>4</xdr:row>
      <xdr:rowOff>0</xdr:rowOff>
    </xdr:to>
    <xdr:cxnSp macro="">
      <xdr:nvCxnSpPr>
        <xdr:cNvPr id="61" name="Conector de seta reta 3">
          <a:extLst>
            <a:ext uri="{FF2B5EF4-FFF2-40B4-BE49-F238E27FC236}">
              <a16:creationId xmlns:a16="http://schemas.microsoft.com/office/drawing/2014/main" id="{B09C2A34-325E-47D2-AF1A-27EA55B66062}"/>
            </a:ext>
          </a:extLst>
        </xdr:cNvPr>
        <xdr:cNvCxnSpPr/>
      </xdr:nvCxnSpPr>
      <xdr:spPr>
        <a:xfrm>
          <a:off x="3250406" y="714375"/>
          <a:ext cx="381000" cy="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226218</xdr:colOff>
      <xdr:row>4</xdr:row>
      <xdr:rowOff>0</xdr:rowOff>
    </xdr:from>
    <xdr:to>
      <xdr:col>16</xdr:col>
      <xdr:colOff>226218</xdr:colOff>
      <xdr:row>9</xdr:row>
      <xdr:rowOff>83343</xdr:rowOff>
    </xdr:to>
    <xdr:cxnSp macro="">
      <xdr:nvCxnSpPr>
        <xdr:cNvPr id="62" name="Conector reto 61">
          <a:extLst>
            <a:ext uri="{FF2B5EF4-FFF2-40B4-BE49-F238E27FC236}">
              <a16:creationId xmlns:a16="http://schemas.microsoft.com/office/drawing/2014/main" id="{5CDCE33D-88BC-48FB-85AB-01EB2C0F4CAB}"/>
            </a:ext>
          </a:extLst>
        </xdr:cNvPr>
        <xdr:cNvCxnSpPr/>
      </xdr:nvCxnSpPr>
      <xdr:spPr>
        <a:xfrm>
          <a:off x="7346156" y="714375"/>
          <a:ext cx="0" cy="97631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9</xdr:row>
      <xdr:rowOff>47625</xdr:rowOff>
    </xdr:from>
    <xdr:to>
      <xdr:col>16</xdr:col>
      <xdr:colOff>226218</xdr:colOff>
      <xdr:row>9</xdr:row>
      <xdr:rowOff>59531</xdr:rowOff>
    </xdr:to>
    <xdr:cxnSp macro="">
      <xdr:nvCxnSpPr>
        <xdr:cNvPr id="63" name="Conector reto 62">
          <a:extLst>
            <a:ext uri="{FF2B5EF4-FFF2-40B4-BE49-F238E27FC236}">
              <a16:creationId xmlns:a16="http://schemas.microsoft.com/office/drawing/2014/main" id="{5D97F609-B798-4407-92AF-2CBF924A34FF}"/>
            </a:ext>
          </a:extLst>
        </xdr:cNvPr>
        <xdr:cNvCxnSpPr/>
      </xdr:nvCxnSpPr>
      <xdr:spPr>
        <a:xfrm>
          <a:off x="7119938" y="1654969"/>
          <a:ext cx="226218" cy="1190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21168</xdr:colOff>
      <xdr:row>4</xdr:row>
      <xdr:rowOff>10583</xdr:rowOff>
    </xdr:from>
    <xdr:to>
      <xdr:col>4</xdr:col>
      <xdr:colOff>222250</xdr:colOff>
      <xdr:row>4</xdr:row>
      <xdr:rowOff>10583</xdr:rowOff>
    </xdr:to>
    <xdr:cxnSp macro="">
      <xdr:nvCxnSpPr>
        <xdr:cNvPr id="2" name="Conector de seta reta 3">
          <a:extLst>
            <a:ext uri="{FF2B5EF4-FFF2-40B4-BE49-F238E27FC236}">
              <a16:creationId xmlns:a16="http://schemas.microsoft.com/office/drawing/2014/main" id="{18A54246-43CA-4A33-A4FA-3CCCD21CA965}"/>
            </a:ext>
          </a:extLst>
        </xdr:cNvPr>
        <xdr:cNvCxnSpPr/>
      </xdr:nvCxnSpPr>
      <xdr:spPr>
        <a:xfrm>
          <a:off x="1460501" y="762000"/>
          <a:ext cx="201082" cy="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63500</xdr:colOff>
      <xdr:row>9</xdr:row>
      <xdr:rowOff>4233</xdr:rowOff>
    </xdr:from>
    <xdr:to>
      <xdr:col>5</xdr:col>
      <xdr:colOff>14816</xdr:colOff>
      <xdr:row>9</xdr:row>
      <xdr:rowOff>10583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A4ECE608-E62E-48F1-952A-5A12BB1008B7}"/>
            </a:ext>
          </a:extLst>
        </xdr:cNvPr>
        <xdr:cNvCxnSpPr/>
      </xdr:nvCxnSpPr>
      <xdr:spPr>
        <a:xfrm flipV="1">
          <a:off x="1502833" y="1676400"/>
          <a:ext cx="194733" cy="635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12701</xdr:colOff>
      <xdr:row>4</xdr:row>
      <xdr:rowOff>2117</xdr:rowOff>
    </xdr:from>
    <xdr:to>
      <xdr:col>8</xdr:col>
      <xdr:colOff>213783</xdr:colOff>
      <xdr:row>4</xdr:row>
      <xdr:rowOff>2117</xdr:rowOff>
    </xdr:to>
    <xdr:cxnSp macro="">
      <xdr:nvCxnSpPr>
        <xdr:cNvPr id="6" name="Conector de seta reta 3">
          <a:extLst>
            <a:ext uri="{FF2B5EF4-FFF2-40B4-BE49-F238E27FC236}">
              <a16:creationId xmlns:a16="http://schemas.microsoft.com/office/drawing/2014/main" id="{8D19B9F9-DCF9-4603-A3A8-C1DC970273AA}"/>
            </a:ext>
          </a:extLst>
        </xdr:cNvPr>
        <xdr:cNvCxnSpPr/>
      </xdr:nvCxnSpPr>
      <xdr:spPr>
        <a:xfrm>
          <a:off x="3050118" y="753534"/>
          <a:ext cx="201082" cy="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52917</xdr:colOff>
      <xdr:row>4</xdr:row>
      <xdr:rowOff>10583</xdr:rowOff>
    </xdr:from>
    <xdr:to>
      <xdr:col>4</xdr:col>
      <xdr:colOff>63500</xdr:colOff>
      <xdr:row>9</xdr:row>
      <xdr:rowOff>10583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FA37D484-DC26-47A1-8DF7-7CF1743502E5}"/>
            </a:ext>
          </a:extLst>
        </xdr:cNvPr>
        <xdr:cNvCxnSpPr/>
      </xdr:nvCxnSpPr>
      <xdr:spPr>
        <a:xfrm>
          <a:off x="1492250" y="762000"/>
          <a:ext cx="10583" cy="92075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57150</xdr:colOff>
      <xdr:row>4</xdr:row>
      <xdr:rowOff>4233</xdr:rowOff>
    </xdr:from>
    <xdr:to>
      <xdr:col>8</xdr:col>
      <xdr:colOff>74084</xdr:colOff>
      <xdr:row>14</xdr:row>
      <xdr:rowOff>63500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49B13DC9-F761-4ACB-A0A1-2B8762F8AB8C}"/>
            </a:ext>
          </a:extLst>
        </xdr:cNvPr>
        <xdr:cNvCxnSpPr/>
      </xdr:nvCxnSpPr>
      <xdr:spPr>
        <a:xfrm>
          <a:off x="3094567" y="755650"/>
          <a:ext cx="16934" cy="191135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10583</xdr:colOff>
      <xdr:row>8</xdr:row>
      <xdr:rowOff>167217</xdr:rowOff>
    </xdr:from>
    <xdr:to>
      <xdr:col>9</xdr:col>
      <xdr:colOff>19049</xdr:colOff>
      <xdr:row>8</xdr:row>
      <xdr:rowOff>169333</xdr:rowOff>
    </xdr:to>
    <xdr:cxnSp macro="">
      <xdr:nvCxnSpPr>
        <xdr:cNvPr id="11" name="Conector de seta reta 3">
          <a:extLst>
            <a:ext uri="{FF2B5EF4-FFF2-40B4-BE49-F238E27FC236}">
              <a16:creationId xmlns:a16="http://schemas.microsoft.com/office/drawing/2014/main" id="{EF814709-7013-499D-B696-739E04C921E4}"/>
            </a:ext>
          </a:extLst>
        </xdr:cNvPr>
        <xdr:cNvCxnSpPr/>
      </xdr:nvCxnSpPr>
      <xdr:spPr>
        <a:xfrm flipV="1">
          <a:off x="3048000" y="1659467"/>
          <a:ext cx="241299" cy="2116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61383</xdr:colOff>
      <xdr:row>14</xdr:row>
      <xdr:rowOff>23284</xdr:rowOff>
    </xdr:from>
    <xdr:to>
      <xdr:col>9</xdr:col>
      <xdr:colOff>23283</xdr:colOff>
      <xdr:row>14</xdr:row>
      <xdr:rowOff>29634</xdr:rowOff>
    </xdr:to>
    <xdr:cxnSp macro="">
      <xdr:nvCxnSpPr>
        <xdr:cNvPr id="12" name="Conector de seta reta 3">
          <a:extLst>
            <a:ext uri="{FF2B5EF4-FFF2-40B4-BE49-F238E27FC236}">
              <a16:creationId xmlns:a16="http://schemas.microsoft.com/office/drawing/2014/main" id="{74B0D5B6-D110-41E6-9B2D-F390B638C3ED}"/>
            </a:ext>
          </a:extLst>
        </xdr:cNvPr>
        <xdr:cNvCxnSpPr/>
      </xdr:nvCxnSpPr>
      <xdr:spPr>
        <a:xfrm flipV="1">
          <a:off x="3098800" y="2626784"/>
          <a:ext cx="194733" cy="635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4235</xdr:colOff>
      <xdr:row>4</xdr:row>
      <xdr:rowOff>16934</xdr:rowOff>
    </xdr:from>
    <xdr:to>
      <xdr:col>13</xdr:col>
      <xdr:colOff>38100</xdr:colOff>
      <xdr:row>4</xdr:row>
      <xdr:rowOff>19050</xdr:rowOff>
    </xdr:to>
    <xdr:cxnSp macro="">
      <xdr:nvCxnSpPr>
        <xdr:cNvPr id="16" name="Conector de seta reta 3">
          <a:extLst>
            <a:ext uri="{FF2B5EF4-FFF2-40B4-BE49-F238E27FC236}">
              <a16:creationId xmlns:a16="http://schemas.microsoft.com/office/drawing/2014/main" id="{798C1072-39F2-4953-8CB7-40A393607EB0}"/>
            </a:ext>
          </a:extLst>
        </xdr:cNvPr>
        <xdr:cNvCxnSpPr/>
      </xdr:nvCxnSpPr>
      <xdr:spPr>
        <a:xfrm>
          <a:off x="4528610" y="731309"/>
          <a:ext cx="367240" cy="2116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161925</xdr:colOff>
      <xdr:row>4</xdr:row>
      <xdr:rowOff>28575</xdr:rowOff>
    </xdr:from>
    <xdr:to>
      <xdr:col>12</xdr:col>
      <xdr:colOff>161925</xdr:colOff>
      <xdr:row>13</xdr:row>
      <xdr:rowOff>133350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6CBE197F-1C64-42A8-8BCD-456FB1BD72C9}"/>
            </a:ext>
          </a:extLst>
        </xdr:cNvPr>
        <xdr:cNvCxnSpPr/>
      </xdr:nvCxnSpPr>
      <xdr:spPr>
        <a:xfrm>
          <a:off x="4686300" y="742950"/>
          <a:ext cx="0" cy="169545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331258</xdr:colOff>
      <xdr:row>13</xdr:row>
      <xdr:rowOff>133350</xdr:rowOff>
    </xdr:from>
    <xdr:to>
      <xdr:col>12</xdr:col>
      <xdr:colOff>168274</xdr:colOff>
      <xdr:row>13</xdr:row>
      <xdr:rowOff>139700</xdr:rowOff>
    </xdr:to>
    <xdr:cxnSp macro="">
      <xdr:nvCxnSpPr>
        <xdr:cNvPr id="8" name="Conector de seta reta 3">
          <a:extLst>
            <a:ext uri="{FF2B5EF4-FFF2-40B4-BE49-F238E27FC236}">
              <a16:creationId xmlns:a16="http://schemas.microsoft.com/office/drawing/2014/main" id="{CD4FB722-9354-4AEA-A191-BB3E89671919}"/>
            </a:ext>
          </a:extLst>
        </xdr:cNvPr>
        <xdr:cNvCxnSpPr/>
      </xdr:nvCxnSpPr>
      <xdr:spPr>
        <a:xfrm flipV="1">
          <a:off x="4493683" y="2438400"/>
          <a:ext cx="198966" cy="635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5026</xdr:colOff>
      <xdr:row>9</xdr:row>
      <xdr:rowOff>19050</xdr:rowOff>
    </xdr:from>
    <xdr:to>
      <xdr:col>12</xdr:col>
      <xdr:colOff>211135</xdr:colOff>
      <xdr:row>9</xdr:row>
      <xdr:rowOff>25400</xdr:rowOff>
    </xdr:to>
    <xdr:cxnSp macro="">
      <xdr:nvCxnSpPr>
        <xdr:cNvPr id="9" name="Conector de seta reta 3">
          <a:extLst>
            <a:ext uri="{FF2B5EF4-FFF2-40B4-BE49-F238E27FC236}">
              <a16:creationId xmlns:a16="http://schemas.microsoft.com/office/drawing/2014/main" id="{6B84C7BC-994D-43F3-A31F-33221321CA6F}"/>
            </a:ext>
          </a:extLst>
        </xdr:cNvPr>
        <xdr:cNvCxnSpPr/>
      </xdr:nvCxnSpPr>
      <xdr:spPr>
        <a:xfrm flipV="1">
          <a:off x="4684182" y="1685925"/>
          <a:ext cx="206109" cy="635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4</xdr:row>
      <xdr:rowOff>0</xdr:rowOff>
    </xdr:from>
    <xdr:to>
      <xdr:col>14</xdr:col>
      <xdr:colOff>-1</xdr:colOff>
      <xdr:row>4</xdr:row>
      <xdr:rowOff>0</xdr:rowOff>
    </xdr:to>
    <xdr:cxnSp macro="">
      <xdr:nvCxnSpPr>
        <xdr:cNvPr id="2" name="Conector de seta reta 3">
          <a:extLst>
            <a:ext uri="{FF2B5EF4-FFF2-40B4-BE49-F238E27FC236}">
              <a16:creationId xmlns:a16="http://schemas.microsoft.com/office/drawing/2014/main" id="{45941F30-81BD-44DD-AE35-F73997C97FFC}"/>
            </a:ext>
          </a:extLst>
        </xdr:cNvPr>
        <xdr:cNvCxnSpPr/>
      </xdr:nvCxnSpPr>
      <xdr:spPr>
        <a:xfrm>
          <a:off x="1647825" y="723900"/>
          <a:ext cx="238124" cy="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47624</xdr:colOff>
      <xdr:row>9</xdr:row>
      <xdr:rowOff>35718</xdr:rowOff>
    </xdr:from>
    <xdr:to>
      <xdr:col>14</xdr:col>
      <xdr:colOff>23811</xdr:colOff>
      <xdr:row>9</xdr:row>
      <xdr:rowOff>35718</xdr:rowOff>
    </xdr:to>
    <xdr:cxnSp macro="">
      <xdr:nvCxnSpPr>
        <xdr:cNvPr id="3" name="Conector de seta reta 3">
          <a:extLst>
            <a:ext uri="{FF2B5EF4-FFF2-40B4-BE49-F238E27FC236}">
              <a16:creationId xmlns:a16="http://schemas.microsoft.com/office/drawing/2014/main" id="{98EAB69E-0147-466A-88C0-5A4583D9222A}"/>
            </a:ext>
          </a:extLst>
        </xdr:cNvPr>
        <xdr:cNvCxnSpPr/>
      </xdr:nvCxnSpPr>
      <xdr:spPr>
        <a:xfrm>
          <a:off x="1695449" y="1664493"/>
          <a:ext cx="214312" cy="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4</xdr:row>
      <xdr:rowOff>0</xdr:rowOff>
    </xdr:from>
    <xdr:to>
      <xdr:col>18</xdr:col>
      <xdr:colOff>47625</xdr:colOff>
      <xdr:row>4</xdr:row>
      <xdr:rowOff>0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24F22A3D-5441-43C1-BBCB-ECD2E5673EBB}"/>
            </a:ext>
          </a:extLst>
        </xdr:cNvPr>
        <xdr:cNvCxnSpPr/>
      </xdr:nvCxnSpPr>
      <xdr:spPr>
        <a:xfrm>
          <a:off x="3248025" y="723900"/>
          <a:ext cx="381000" cy="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190500</xdr:colOff>
      <xdr:row>4</xdr:row>
      <xdr:rowOff>11906</xdr:rowOff>
    </xdr:from>
    <xdr:to>
      <xdr:col>17</xdr:col>
      <xdr:colOff>202405</xdr:colOff>
      <xdr:row>19</xdr:row>
      <xdr:rowOff>0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19C5B4CB-5830-4DF1-9C30-C2110C2BC498}"/>
            </a:ext>
          </a:extLst>
        </xdr:cNvPr>
        <xdr:cNvCxnSpPr/>
      </xdr:nvCxnSpPr>
      <xdr:spPr>
        <a:xfrm>
          <a:off x="3438525" y="735806"/>
          <a:ext cx="11905" cy="270271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</xdr:colOff>
      <xdr:row>9</xdr:row>
      <xdr:rowOff>57150</xdr:rowOff>
    </xdr:from>
    <xdr:to>
      <xdr:col>17</xdr:col>
      <xdr:colOff>214313</xdr:colOff>
      <xdr:row>9</xdr:row>
      <xdr:rowOff>71437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5A49AB36-E34E-4C69-9AF1-DF87FB1D6E2C}"/>
            </a:ext>
          </a:extLst>
        </xdr:cNvPr>
        <xdr:cNvCxnSpPr/>
      </xdr:nvCxnSpPr>
      <xdr:spPr>
        <a:xfrm>
          <a:off x="11449050" y="1685925"/>
          <a:ext cx="204788" cy="1428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14</xdr:row>
      <xdr:rowOff>0</xdr:rowOff>
    </xdr:from>
    <xdr:to>
      <xdr:col>17</xdr:col>
      <xdr:colOff>226218</xdr:colOff>
      <xdr:row>14</xdr:row>
      <xdr:rowOff>11906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F3664140-FE75-4C45-8B80-5229CF061D5F}"/>
            </a:ext>
          </a:extLst>
        </xdr:cNvPr>
        <xdr:cNvCxnSpPr/>
      </xdr:nvCxnSpPr>
      <xdr:spPr>
        <a:xfrm>
          <a:off x="3248025" y="2533650"/>
          <a:ext cx="226218" cy="1190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19</xdr:row>
      <xdr:rowOff>0</xdr:rowOff>
    </xdr:from>
    <xdr:to>
      <xdr:col>17</xdr:col>
      <xdr:colOff>226218</xdr:colOff>
      <xdr:row>19</xdr:row>
      <xdr:rowOff>11906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21A6FF32-FE63-453A-B34E-864E6B0338B4}"/>
            </a:ext>
          </a:extLst>
        </xdr:cNvPr>
        <xdr:cNvCxnSpPr/>
      </xdr:nvCxnSpPr>
      <xdr:spPr>
        <a:xfrm>
          <a:off x="3248025" y="3438525"/>
          <a:ext cx="226218" cy="1190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59531</xdr:colOff>
      <xdr:row>3</xdr:row>
      <xdr:rowOff>166688</xdr:rowOff>
    </xdr:from>
    <xdr:to>
      <xdr:col>13</xdr:col>
      <xdr:colOff>59531</xdr:colOff>
      <xdr:row>19</xdr:row>
      <xdr:rowOff>23813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D910BE46-30DA-4DED-80EA-955CD78643D6}"/>
            </a:ext>
          </a:extLst>
        </xdr:cNvPr>
        <xdr:cNvCxnSpPr/>
      </xdr:nvCxnSpPr>
      <xdr:spPr>
        <a:xfrm>
          <a:off x="1707356" y="709613"/>
          <a:ext cx="0" cy="27527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71436</xdr:colOff>
      <xdr:row>14</xdr:row>
      <xdr:rowOff>0</xdr:rowOff>
    </xdr:from>
    <xdr:to>
      <xdr:col>14</xdr:col>
      <xdr:colOff>47623</xdr:colOff>
      <xdr:row>14</xdr:row>
      <xdr:rowOff>0</xdr:rowOff>
    </xdr:to>
    <xdr:cxnSp macro="">
      <xdr:nvCxnSpPr>
        <xdr:cNvPr id="10" name="Conector de seta reta 3">
          <a:extLst>
            <a:ext uri="{FF2B5EF4-FFF2-40B4-BE49-F238E27FC236}">
              <a16:creationId xmlns:a16="http://schemas.microsoft.com/office/drawing/2014/main" id="{D164A3A1-629D-447E-8DBC-291D7177A722}"/>
            </a:ext>
          </a:extLst>
        </xdr:cNvPr>
        <xdr:cNvCxnSpPr/>
      </xdr:nvCxnSpPr>
      <xdr:spPr>
        <a:xfrm>
          <a:off x="1719261" y="2533650"/>
          <a:ext cx="214312" cy="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59530</xdr:colOff>
      <xdr:row>19</xdr:row>
      <xdr:rowOff>0</xdr:rowOff>
    </xdr:from>
    <xdr:to>
      <xdr:col>14</xdr:col>
      <xdr:colOff>35717</xdr:colOff>
      <xdr:row>19</xdr:row>
      <xdr:rowOff>0</xdr:rowOff>
    </xdr:to>
    <xdr:cxnSp macro="">
      <xdr:nvCxnSpPr>
        <xdr:cNvPr id="11" name="Conector de seta reta 3">
          <a:extLst>
            <a:ext uri="{FF2B5EF4-FFF2-40B4-BE49-F238E27FC236}">
              <a16:creationId xmlns:a16="http://schemas.microsoft.com/office/drawing/2014/main" id="{12D37838-6368-48F2-9F05-AE40DD4B3CEE}"/>
            </a:ext>
          </a:extLst>
        </xdr:cNvPr>
        <xdr:cNvCxnSpPr/>
      </xdr:nvCxnSpPr>
      <xdr:spPr>
        <a:xfrm>
          <a:off x="1707355" y="3438525"/>
          <a:ext cx="214312" cy="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4</xdr:row>
      <xdr:rowOff>0</xdr:rowOff>
    </xdr:from>
    <xdr:to>
      <xdr:col>22</xdr:col>
      <xdr:colOff>47625</xdr:colOff>
      <xdr:row>4</xdr:row>
      <xdr:rowOff>0</xdr:rowOff>
    </xdr:to>
    <xdr:cxnSp macro="">
      <xdr:nvCxnSpPr>
        <xdr:cNvPr id="12" name="Conector de seta reta 3">
          <a:extLst>
            <a:ext uri="{FF2B5EF4-FFF2-40B4-BE49-F238E27FC236}">
              <a16:creationId xmlns:a16="http://schemas.microsoft.com/office/drawing/2014/main" id="{A0BC0A66-0F9D-4614-BCCE-B529688F86A4}"/>
            </a:ext>
          </a:extLst>
        </xdr:cNvPr>
        <xdr:cNvCxnSpPr/>
      </xdr:nvCxnSpPr>
      <xdr:spPr>
        <a:xfrm>
          <a:off x="5305425" y="723900"/>
          <a:ext cx="381000" cy="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142875</xdr:colOff>
      <xdr:row>9</xdr:row>
      <xdr:rowOff>0</xdr:rowOff>
    </xdr:from>
    <xdr:to>
      <xdr:col>22</xdr:col>
      <xdr:colOff>47625</xdr:colOff>
      <xdr:row>9</xdr:row>
      <xdr:rowOff>11906</xdr:rowOff>
    </xdr:to>
    <xdr:cxnSp macro="">
      <xdr:nvCxnSpPr>
        <xdr:cNvPr id="13" name="Conector de seta reta 3">
          <a:extLst>
            <a:ext uri="{FF2B5EF4-FFF2-40B4-BE49-F238E27FC236}">
              <a16:creationId xmlns:a16="http://schemas.microsoft.com/office/drawing/2014/main" id="{30D3931B-0179-4B12-BA50-1336B86DE9AD}"/>
            </a:ext>
          </a:extLst>
        </xdr:cNvPr>
        <xdr:cNvCxnSpPr/>
      </xdr:nvCxnSpPr>
      <xdr:spPr>
        <a:xfrm flipV="1">
          <a:off x="5448300" y="1628775"/>
          <a:ext cx="238125" cy="11906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142875</xdr:colOff>
      <xdr:row>4</xdr:row>
      <xdr:rowOff>0</xdr:rowOff>
    </xdr:from>
    <xdr:to>
      <xdr:col>21</xdr:col>
      <xdr:colOff>154781</xdr:colOff>
      <xdr:row>9</xdr:row>
      <xdr:rowOff>0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315F18DD-20F1-416F-BA0F-1B3C3222D1E9}"/>
            </a:ext>
          </a:extLst>
        </xdr:cNvPr>
        <xdr:cNvCxnSpPr/>
      </xdr:nvCxnSpPr>
      <xdr:spPr>
        <a:xfrm>
          <a:off x="5448300" y="723900"/>
          <a:ext cx="11906" cy="90487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4</xdr:row>
      <xdr:rowOff>0</xdr:rowOff>
    </xdr:from>
    <xdr:to>
      <xdr:col>26</xdr:col>
      <xdr:colOff>47625</xdr:colOff>
      <xdr:row>4</xdr:row>
      <xdr:rowOff>0</xdr:rowOff>
    </xdr:to>
    <xdr:cxnSp macro="">
      <xdr:nvCxnSpPr>
        <xdr:cNvPr id="15" name="Conector de seta reta 3">
          <a:extLst>
            <a:ext uri="{FF2B5EF4-FFF2-40B4-BE49-F238E27FC236}">
              <a16:creationId xmlns:a16="http://schemas.microsoft.com/office/drawing/2014/main" id="{C5B57F42-D8D3-4DB1-90EF-C49BDFA89630}"/>
            </a:ext>
          </a:extLst>
        </xdr:cNvPr>
        <xdr:cNvCxnSpPr/>
      </xdr:nvCxnSpPr>
      <xdr:spPr>
        <a:xfrm>
          <a:off x="7134225" y="723900"/>
          <a:ext cx="438150" cy="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226218</xdr:colOff>
      <xdr:row>4</xdr:row>
      <xdr:rowOff>0</xdr:rowOff>
    </xdr:from>
    <xdr:to>
      <xdr:col>25</xdr:col>
      <xdr:colOff>226218</xdr:colOff>
      <xdr:row>9</xdr:row>
      <xdr:rowOff>83343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64638EAB-A40C-4895-8817-6E01B85B7165}"/>
            </a:ext>
          </a:extLst>
        </xdr:cNvPr>
        <xdr:cNvCxnSpPr/>
      </xdr:nvCxnSpPr>
      <xdr:spPr>
        <a:xfrm>
          <a:off x="7360443" y="723900"/>
          <a:ext cx="0" cy="98821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9</xdr:row>
      <xdr:rowOff>47625</xdr:rowOff>
    </xdr:from>
    <xdr:to>
      <xdr:col>25</xdr:col>
      <xdr:colOff>226218</xdr:colOff>
      <xdr:row>9</xdr:row>
      <xdr:rowOff>59531</xdr:rowOff>
    </xdr:to>
    <xdr:cxnSp macro="">
      <xdr:nvCxnSpPr>
        <xdr:cNvPr id="17" name="Conector reto 16">
          <a:extLst>
            <a:ext uri="{FF2B5EF4-FFF2-40B4-BE49-F238E27FC236}">
              <a16:creationId xmlns:a16="http://schemas.microsoft.com/office/drawing/2014/main" id="{A326309F-5FFB-4082-B730-6341FA0AC0DA}"/>
            </a:ext>
          </a:extLst>
        </xdr:cNvPr>
        <xdr:cNvCxnSpPr/>
      </xdr:nvCxnSpPr>
      <xdr:spPr>
        <a:xfrm>
          <a:off x="7134225" y="1676400"/>
          <a:ext cx="226218" cy="1190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18</xdr:col>
      <xdr:colOff>246529</xdr:colOff>
      <xdr:row>13</xdr:row>
      <xdr:rowOff>36420</xdr:rowOff>
    </xdr:from>
    <xdr:to>
      <xdr:col>30</xdr:col>
      <xdr:colOff>120707</xdr:colOff>
      <xdr:row>22</xdr:row>
      <xdr:rowOff>67236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91E03CCA-7DCA-4988-8FBD-D91FE3E20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8353" y="2367244"/>
          <a:ext cx="5835707" cy="1678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0"/>
  <sheetViews>
    <sheetView zoomScale="110" zoomScaleNormal="110" workbookViewId="0">
      <selection activeCell="C9" sqref="C9"/>
    </sheetView>
  </sheetViews>
  <sheetFormatPr defaultRowHeight="14.25" x14ac:dyDescent="0.2"/>
  <cols>
    <col min="1" max="1" width="3.109375" customWidth="1"/>
    <col min="3" max="3" width="46" customWidth="1"/>
  </cols>
  <sheetData>
    <row r="1" spans="2:8" x14ac:dyDescent="0.2">
      <c r="B1" s="69" t="s">
        <v>80</v>
      </c>
      <c r="C1" s="69"/>
      <c r="D1" s="69"/>
      <c r="E1" s="69"/>
      <c r="F1" s="69"/>
      <c r="G1" s="8" t="s">
        <v>7</v>
      </c>
      <c r="H1" s="8">
        <f>'Q1'!H1+'Q2'!H1+'Q3'!L1+'Q5'!H1+'Q4'!$H$1</f>
        <v>10.5</v>
      </c>
    </row>
    <row r="2" spans="2:8" x14ac:dyDescent="0.2">
      <c r="B2" s="5"/>
      <c r="C2" s="5"/>
      <c r="D2" s="5"/>
      <c r="E2" s="5"/>
      <c r="F2" s="5"/>
      <c r="G2" s="5"/>
      <c r="H2" s="5"/>
    </row>
    <row r="3" spans="2:8" x14ac:dyDescent="0.2">
      <c r="B3" t="s">
        <v>0</v>
      </c>
    </row>
    <row r="4" spans="2:8" x14ac:dyDescent="0.2">
      <c r="B4" t="s">
        <v>91</v>
      </c>
    </row>
    <row r="5" spans="2:8" x14ac:dyDescent="0.2">
      <c r="B5" t="s">
        <v>1</v>
      </c>
    </row>
    <row r="6" spans="2:8" x14ac:dyDescent="0.2">
      <c r="B6" t="s">
        <v>2</v>
      </c>
    </row>
    <row r="7" spans="2:8" x14ac:dyDescent="0.2">
      <c r="B7" t="s">
        <v>27</v>
      </c>
    </row>
    <row r="9" spans="2:8" x14ac:dyDescent="0.2">
      <c r="B9" s="1" t="s">
        <v>3</v>
      </c>
      <c r="C9" s="46" t="s">
        <v>111</v>
      </c>
    </row>
    <row r="10" spans="2:8" x14ac:dyDescent="0.2">
      <c r="B10" s="1" t="s">
        <v>4</v>
      </c>
      <c r="C10" s="47" t="s">
        <v>112</v>
      </c>
    </row>
    <row r="12" spans="2:8" x14ac:dyDescent="0.2">
      <c r="B12" s="2" t="s">
        <v>26</v>
      </c>
      <c r="C12" s="2"/>
    </row>
    <row r="13" spans="2:8" x14ac:dyDescent="0.2">
      <c r="B13" s="2" t="s">
        <v>92</v>
      </c>
      <c r="C13" s="2"/>
    </row>
    <row r="14" spans="2:8" x14ac:dyDescent="0.2">
      <c r="B14" s="2" t="s">
        <v>24</v>
      </c>
      <c r="C14" s="2"/>
    </row>
    <row r="17" spans="2:3" x14ac:dyDescent="0.2">
      <c r="B17" s="3" t="s">
        <v>5</v>
      </c>
    </row>
    <row r="18" spans="2:3" x14ac:dyDescent="0.2">
      <c r="B18" s="3" t="s">
        <v>6</v>
      </c>
    </row>
    <row r="20" spans="2:3" x14ac:dyDescent="0.2">
      <c r="C20" s="45" t="s">
        <v>101</v>
      </c>
    </row>
  </sheetData>
  <mergeCells count="1">
    <mergeCell ref="B1:F1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14"/>
  <sheetViews>
    <sheetView zoomScale="70" zoomScaleNormal="70" workbookViewId="0">
      <selection activeCell="E30" sqref="E30"/>
    </sheetView>
  </sheetViews>
  <sheetFormatPr defaultRowHeight="14.25" x14ac:dyDescent="0.2"/>
  <cols>
    <col min="1" max="1" width="3.6640625" customWidth="1"/>
    <col min="2" max="2" width="8.77734375" customWidth="1"/>
    <col min="6" max="6" width="11.5546875" customWidth="1"/>
  </cols>
  <sheetData>
    <row r="1" spans="2:18" x14ac:dyDescent="0.2">
      <c r="B1" s="69" t="str">
        <f>Id!B1</f>
        <v>Preencher o nome e RA na Planilha Id, células C9 e C10</v>
      </c>
      <c r="C1" s="69"/>
      <c r="D1" s="69"/>
      <c r="E1" s="69"/>
      <c r="F1" s="69"/>
      <c r="G1" s="8" t="s">
        <v>7</v>
      </c>
      <c r="H1" s="8">
        <v>1.5</v>
      </c>
    </row>
    <row r="3" spans="2:18" x14ac:dyDescent="0.2">
      <c r="B3" s="70" t="s">
        <v>35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</row>
    <row r="4" spans="2:18" x14ac:dyDescent="0.2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x14ac:dyDescent="0.2">
      <c r="B5" s="43" t="s">
        <v>113</v>
      </c>
      <c r="C5" t="s">
        <v>94</v>
      </c>
    </row>
    <row r="6" spans="2:18" x14ac:dyDescent="0.2">
      <c r="B6" s="43" t="s">
        <v>114</v>
      </c>
      <c r="C6" t="s">
        <v>96</v>
      </c>
    </row>
    <row r="7" spans="2:18" x14ac:dyDescent="0.2">
      <c r="B7" s="43" t="s">
        <v>114</v>
      </c>
      <c r="C7" t="s">
        <v>117</v>
      </c>
    </row>
    <row r="8" spans="2:18" x14ac:dyDescent="0.2">
      <c r="B8" s="43" t="s">
        <v>113</v>
      </c>
      <c r="C8" t="s">
        <v>29</v>
      </c>
    </row>
    <row r="9" spans="2:18" x14ac:dyDescent="0.2">
      <c r="B9" s="43" t="s">
        <v>114</v>
      </c>
      <c r="C9" t="s">
        <v>116</v>
      </c>
    </row>
    <row r="10" spans="2:18" x14ac:dyDescent="0.2">
      <c r="B10" s="43" t="s">
        <v>113</v>
      </c>
      <c r="C10" t="s">
        <v>81</v>
      </c>
    </row>
    <row r="11" spans="2:18" x14ac:dyDescent="0.2">
      <c r="B11" s="43" t="s">
        <v>113</v>
      </c>
      <c r="C11" t="s">
        <v>82</v>
      </c>
    </row>
    <row r="12" spans="2:18" x14ac:dyDescent="0.2">
      <c r="B12" s="43" t="s">
        <v>113</v>
      </c>
      <c r="C12" t="s">
        <v>28</v>
      </c>
    </row>
    <row r="13" spans="2:18" x14ac:dyDescent="0.2">
      <c r="B13" s="43" t="s">
        <v>114</v>
      </c>
      <c r="C13" t="s">
        <v>95</v>
      </c>
    </row>
    <row r="14" spans="2:18" x14ac:dyDescent="0.2">
      <c r="B14" s="43" t="s">
        <v>113</v>
      </c>
      <c r="C14" t="s">
        <v>93</v>
      </c>
    </row>
  </sheetData>
  <mergeCells count="2">
    <mergeCell ref="B1:F1"/>
    <mergeCell ref="B3:R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O16"/>
  <sheetViews>
    <sheetView zoomScaleNormal="100" workbookViewId="0">
      <selection activeCell="E11" sqref="E11"/>
    </sheetView>
  </sheetViews>
  <sheetFormatPr defaultRowHeight="14.25" x14ac:dyDescent="0.2"/>
  <cols>
    <col min="1" max="1" width="3.21875" customWidth="1"/>
    <col min="2" max="2" width="10.77734375" customWidth="1"/>
    <col min="6" max="6" width="10.77734375" customWidth="1"/>
  </cols>
  <sheetData>
    <row r="1" spans="2:15" x14ac:dyDescent="0.2">
      <c r="B1" s="69" t="str">
        <f>Id!B1</f>
        <v>Preencher o nome e RA na Planilha Id, células C9 e C10</v>
      </c>
      <c r="C1" s="69"/>
      <c r="D1" s="69"/>
      <c r="E1" s="69"/>
      <c r="F1" s="69"/>
      <c r="G1" s="8" t="s">
        <v>7</v>
      </c>
      <c r="H1" s="9">
        <v>2</v>
      </c>
    </row>
    <row r="3" spans="2:15" x14ac:dyDescent="0.2">
      <c r="B3" t="s">
        <v>36</v>
      </c>
    </row>
    <row r="5" spans="2:15" x14ac:dyDescent="0.2">
      <c r="B5" t="s">
        <v>37</v>
      </c>
      <c r="C5" s="42" t="s">
        <v>115</v>
      </c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</row>
    <row r="16" spans="2:15" x14ac:dyDescent="0.2">
      <c r="B16" t="s">
        <v>38</v>
      </c>
      <c r="C16" s="42" t="s">
        <v>118</v>
      </c>
      <c r="D16" s="42"/>
      <c r="E16" s="42"/>
      <c r="F16" s="42"/>
      <c r="G16" s="42"/>
      <c r="H16" s="42"/>
      <c r="I16" s="42"/>
      <c r="J16" s="42"/>
    </row>
  </sheetData>
  <mergeCells count="1">
    <mergeCell ref="B1:F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44"/>
  <sheetViews>
    <sheetView zoomScale="85" zoomScaleNormal="85" workbookViewId="0">
      <selection activeCell="AE26" sqref="AE26"/>
    </sheetView>
  </sheetViews>
  <sheetFormatPr defaultRowHeight="14.25" x14ac:dyDescent="0.2"/>
  <cols>
    <col min="1" max="1" width="3.88671875" customWidth="1"/>
    <col min="2" max="2" width="2.77734375" customWidth="1"/>
    <col min="3" max="3" width="9.77734375" customWidth="1"/>
    <col min="4" max="5" width="2.77734375" customWidth="1"/>
    <col min="6" max="6" width="3.33203125" customWidth="1"/>
    <col min="7" max="7" width="9.109375" customWidth="1"/>
    <col min="8" max="8" width="3.44140625" customWidth="1"/>
    <col min="9" max="9" width="3.88671875" customWidth="1"/>
    <col min="10" max="10" width="5.5546875" customWidth="1"/>
    <col min="11" max="11" width="8" customWidth="1"/>
    <col min="12" max="12" width="6.5546875" customWidth="1"/>
    <col min="13" max="13" width="3.88671875" customWidth="1"/>
    <col min="14" max="14" width="2.88671875" customWidth="1"/>
    <col min="15" max="15" width="9" style="5" customWidth="1"/>
    <col min="16" max="16" width="5.5546875" customWidth="1"/>
    <col min="17" max="17" width="4.5546875" customWidth="1"/>
    <col min="18" max="18" width="6.21875" customWidth="1"/>
    <col min="19" max="19" width="10.21875" customWidth="1"/>
    <col min="20" max="20" width="5.88671875" customWidth="1"/>
    <col min="21" max="21" width="6.77734375" customWidth="1"/>
    <col min="22" max="22" width="11.21875" customWidth="1"/>
    <col min="23" max="23" width="12.5546875" customWidth="1"/>
    <col min="24" max="24" width="7.88671875" customWidth="1"/>
    <col min="25" max="25" width="2.77734375" customWidth="1"/>
    <col min="26" max="26" width="6.33203125" style="5" bestFit="1" customWidth="1"/>
    <col min="27" max="27" width="7.109375" style="5" customWidth="1"/>
    <col min="28" max="28" width="9.88671875" style="5" bestFit="1" customWidth="1"/>
    <col min="29" max="29" width="11.88671875" bestFit="1" customWidth="1"/>
    <col min="30" max="30" width="14.109375" customWidth="1"/>
    <col min="31" max="31" width="18.6640625" customWidth="1"/>
    <col min="32" max="32" width="6.5546875" customWidth="1"/>
    <col min="33" max="33" width="12.88671875" bestFit="1" customWidth="1"/>
  </cols>
  <sheetData>
    <row r="1" spans="1:32" x14ac:dyDescent="0.2">
      <c r="A1" s="69" t="str">
        <f>Id!B1</f>
        <v>Preencher o nome e RA na Planilha Id, células C9 e C10</v>
      </c>
      <c r="B1" s="69"/>
      <c r="C1" s="69"/>
      <c r="D1" s="69"/>
      <c r="E1" s="69"/>
      <c r="F1" s="69"/>
      <c r="G1" s="69"/>
      <c r="H1" s="69"/>
      <c r="I1" s="69"/>
      <c r="J1" s="69"/>
      <c r="K1" s="8" t="s">
        <v>7</v>
      </c>
      <c r="L1" s="9">
        <f>SUM(AF13:AF19)</f>
        <v>4</v>
      </c>
    </row>
    <row r="2" spans="1:32" x14ac:dyDescent="0.2">
      <c r="AC2" s="5"/>
      <c r="AD2" s="5"/>
      <c r="AE2" s="5"/>
      <c r="AF2" s="5"/>
    </row>
    <row r="3" spans="1:32" x14ac:dyDescent="0.2">
      <c r="B3" s="53">
        <v>0</v>
      </c>
      <c r="C3" s="53" t="str">
        <f>B3+1&amp;"-"&amp;D3</f>
        <v>1-5</v>
      </c>
      <c r="D3" s="53">
        <f>B3+D6</f>
        <v>5</v>
      </c>
      <c r="E3" s="51"/>
      <c r="F3" s="54">
        <f>D3</f>
        <v>5</v>
      </c>
      <c r="G3" s="54" t="str">
        <f>F3+1&amp;"-"&amp;H3</f>
        <v>6-6</v>
      </c>
      <c r="H3" s="54">
        <f>F3+H6</f>
        <v>6</v>
      </c>
      <c r="J3" s="53">
        <f>H13</f>
        <v>10</v>
      </c>
      <c r="K3" s="53" t="str">
        <f>J3+1&amp;"-"&amp;L3</f>
        <v>11-11</v>
      </c>
      <c r="L3" s="53">
        <f>J3+L6</f>
        <v>11</v>
      </c>
      <c r="N3" s="54">
        <f>L3</f>
        <v>11</v>
      </c>
      <c r="O3" s="54" t="str">
        <f>N3+1&amp;"-"&amp;P3</f>
        <v>12-14</v>
      </c>
      <c r="P3" s="54">
        <f>N3+P6</f>
        <v>14</v>
      </c>
      <c r="R3" s="53">
        <f>P8</f>
        <v>15</v>
      </c>
      <c r="S3" s="53" t="str">
        <f>R3+1&amp;"-"&amp;T3</f>
        <v>16-16,5</v>
      </c>
      <c r="T3" s="53">
        <f>R3+T6</f>
        <v>16.5</v>
      </c>
      <c r="V3" s="44" t="s">
        <v>21</v>
      </c>
      <c r="Z3"/>
      <c r="AA3"/>
      <c r="AB3"/>
    </row>
    <row r="4" spans="1:32" x14ac:dyDescent="0.2">
      <c r="B4" s="74" t="s">
        <v>119</v>
      </c>
      <c r="C4" s="75"/>
      <c r="D4" s="76"/>
      <c r="E4" s="52"/>
      <c r="F4" s="80" t="s">
        <v>134</v>
      </c>
      <c r="G4" s="81"/>
      <c r="H4" s="82"/>
      <c r="J4" s="74" t="s">
        <v>114</v>
      </c>
      <c r="K4" s="75"/>
      <c r="L4" s="76"/>
      <c r="N4" s="80" t="s">
        <v>139</v>
      </c>
      <c r="O4" s="81"/>
      <c r="P4" s="82"/>
      <c r="R4" s="74" t="s">
        <v>140</v>
      </c>
      <c r="S4" s="75"/>
      <c r="T4" s="76"/>
      <c r="V4" t="s">
        <v>34</v>
      </c>
      <c r="Z4"/>
      <c r="AA4"/>
      <c r="AB4"/>
    </row>
    <row r="5" spans="1:32" x14ac:dyDescent="0.2">
      <c r="B5" s="77"/>
      <c r="C5" s="78"/>
      <c r="D5" s="79"/>
      <c r="E5" s="52"/>
      <c r="F5" s="83"/>
      <c r="G5" s="84"/>
      <c r="H5" s="85"/>
      <c r="J5" s="77"/>
      <c r="K5" s="78"/>
      <c r="L5" s="79"/>
      <c r="N5" s="83"/>
      <c r="O5" s="84"/>
      <c r="P5" s="85"/>
      <c r="R5" s="77"/>
      <c r="S5" s="78"/>
      <c r="T5" s="79"/>
      <c r="V5" t="s">
        <v>25</v>
      </c>
      <c r="Z5"/>
      <c r="AA5"/>
      <c r="AB5"/>
    </row>
    <row r="6" spans="1:32" x14ac:dyDescent="0.2">
      <c r="B6" s="53">
        <v>1</v>
      </c>
      <c r="C6" s="53" t="str">
        <f>V27</f>
        <v>Version</v>
      </c>
      <c r="D6" s="53">
        <v>5</v>
      </c>
      <c r="E6" s="51"/>
      <c r="F6" s="54">
        <v>2</v>
      </c>
      <c r="G6" s="54" t="str">
        <f>V37</f>
        <v>UserId</v>
      </c>
      <c r="H6" s="54">
        <v>1</v>
      </c>
      <c r="J6" s="53">
        <v>6</v>
      </c>
      <c r="K6" s="53" t="str">
        <f>V35</f>
        <v>Order</v>
      </c>
      <c r="L6" s="53">
        <v>1</v>
      </c>
      <c r="N6" s="54">
        <v>7</v>
      </c>
      <c r="O6" s="54" t="str">
        <f>V28</f>
        <v>Parse</v>
      </c>
      <c r="P6" s="54">
        <v>3</v>
      </c>
      <c r="R6" s="53">
        <v>9</v>
      </c>
      <c r="S6" s="53" t="str">
        <f>V26</f>
        <v>Select</v>
      </c>
      <c r="T6" s="53">
        <v>1.5</v>
      </c>
      <c r="V6" s="7" t="s">
        <v>8</v>
      </c>
      <c r="Z6"/>
      <c r="AA6"/>
      <c r="AB6"/>
    </row>
    <row r="7" spans="1:32" x14ac:dyDescent="0.2">
      <c r="B7" s="5"/>
      <c r="C7" s="5"/>
      <c r="D7" s="5"/>
      <c r="E7" s="5"/>
      <c r="F7" s="55"/>
      <c r="G7" s="55"/>
      <c r="H7" s="55"/>
      <c r="V7" s="44" t="s">
        <v>20</v>
      </c>
      <c r="Z7"/>
      <c r="AA7"/>
      <c r="AB7"/>
    </row>
    <row r="8" spans="1:32" x14ac:dyDescent="0.2">
      <c r="B8" s="5"/>
      <c r="C8" s="5"/>
      <c r="D8" s="5"/>
      <c r="E8" s="5"/>
      <c r="F8" s="54">
        <f>D3</f>
        <v>5</v>
      </c>
      <c r="G8" s="54" t="str">
        <f>F8+1&amp;"-"&amp;H8</f>
        <v>6-8</v>
      </c>
      <c r="H8" s="54">
        <f>F8+H11</f>
        <v>8</v>
      </c>
      <c r="N8" s="53">
        <f>L3</f>
        <v>11</v>
      </c>
      <c r="O8" s="53" t="str">
        <f>N8+1&amp;"-"&amp;P8</f>
        <v>12-15</v>
      </c>
      <c r="P8" s="53">
        <f>N8+P11</f>
        <v>15</v>
      </c>
      <c r="V8" s="44" t="s">
        <v>22</v>
      </c>
      <c r="Z8"/>
      <c r="AA8"/>
      <c r="AB8"/>
    </row>
    <row r="9" spans="1:32" x14ac:dyDescent="0.2">
      <c r="B9" s="5"/>
      <c r="C9" s="5"/>
      <c r="D9" s="5"/>
      <c r="E9" s="5"/>
      <c r="F9" s="80" t="s">
        <v>135</v>
      </c>
      <c r="G9" s="81"/>
      <c r="H9" s="82"/>
      <c r="N9" s="74" t="s">
        <v>138</v>
      </c>
      <c r="O9" s="75"/>
      <c r="P9" s="76"/>
      <c r="V9" s="44" t="s">
        <v>23</v>
      </c>
      <c r="Z9"/>
      <c r="AA9"/>
      <c r="AB9"/>
    </row>
    <row r="10" spans="1:32" x14ac:dyDescent="0.2">
      <c r="F10" s="83"/>
      <c r="G10" s="84"/>
      <c r="H10" s="85"/>
      <c r="N10" s="77"/>
      <c r="O10" s="78"/>
      <c r="P10" s="79"/>
      <c r="V10" s="44" t="s">
        <v>83</v>
      </c>
      <c r="Z10"/>
      <c r="AA10"/>
      <c r="AB10"/>
    </row>
    <row r="11" spans="1:32" x14ac:dyDescent="0.2">
      <c r="F11" s="54">
        <v>3</v>
      </c>
      <c r="G11" s="54" t="str">
        <f>V33</f>
        <v>Where</v>
      </c>
      <c r="H11" s="54">
        <v>3</v>
      </c>
      <c r="N11" s="53">
        <v>8</v>
      </c>
      <c r="O11" s="53" t="str">
        <f>V31</f>
        <v>Choose</v>
      </c>
      <c r="P11" s="53">
        <v>4</v>
      </c>
      <c r="V11" s="5"/>
      <c r="Z11"/>
      <c r="AA11"/>
      <c r="AB11"/>
    </row>
    <row r="12" spans="1:32" x14ac:dyDescent="0.2">
      <c r="V12" t="s">
        <v>9</v>
      </c>
      <c r="Z12"/>
      <c r="AA12"/>
      <c r="AB12"/>
    </row>
    <row r="13" spans="1:32" x14ac:dyDescent="0.2">
      <c r="F13" s="53">
        <f>D3</f>
        <v>5</v>
      </c>
      <c r="G13" s="53" t="str">
        <f>F13+1&amp;"-"&amp;H13</f>
        <v>6-10</v>
      </c>
      <c r="H13" s="53">
        <f>F13+H16</f>
        <v>10</v>
      </c>
      <c r="V13" s="5" t="s">
        <v>10</v>
      </c>
      <c r="W13" s="44" t="s">
        <v>31</v>
      </c>
      <c r="X13" s="44"/>
      <c r="Y13" s="44"/>
      <c r="Z13" s="44"/>
      <c r="AA13" s="44"/>
      <c r="AB13" s="44"/>
      <c r="AC13" s="44"/>
      <c r="AD13" s="44"/>
      <c r="AF13" s="6">
        <v>1</v>
      </c>
    </row>
    <row r="14" spans="1:32" x14ac:dyDescent="0.2">
      <c r="F14" s="74" t="s">
        <v>136</v>
      </c>
      <c r="G14" s="75"/>
      <c r="H14" s="76"/>
      <c r="V14" s="5" t="s">
        <v>11</v>
      </c>
      <c r="W14" s="44" t="s">
        <v>12</v>
      </c>
      <c r="X14" s="44"/>
      <c r="Y14" s="44"/>
      <c r="Z14" s="44"/>
      <c r="AA14" s="44"/>
      <c r="AB14" s="44"/>
      <c r="AC14" s="44"/>
      <c r="AD14" s="44"/>
      <c r="AF14" s="6">
        <v>0.5</v>
      </c>
    </row>
    <row r="15" spans="1:32" x14ac:dyDescent="0.2">
      <c r="F15" s="77"/>
      <c r="G15" s="78"/>
      <c r="H15" s="79"/>
      <c r="V15" s="5" t="s">
        <v>13</v>
      </c>
      <c r="W15" s="44" t="s">
        <v>97</v>
      </c>
      <c r="X15" s="44"/>
      <c r="Y15" s="44"/>
      <c r="Z15" s="44"/>
      <c r="AA15" s="44"/>
      <c r="AB15" s="44"/>
      <c r="AC15" s="44"/>
      <c r="AD15" s="44"/>
      <c r="AF15" s="6"/>
    </row>
    <row r="16" spans="1:32" x14ac:dyDescent="0.2">
      <c r="F16" s="53">
        <v>4</v>
      </c>
      <c r="G16" s="53" t="str">
        <f>V28</f>
        <v>Parse</v>
      </c>
      <c r="H16" s="53">
        <v>5</v>
      </c>
      <c r="V16" s="5"/>
      <c r="W16" s="44" t="s">
        <v>14</v>
      </c>
      <c r="X16" s="44"/>
      <c r="Y16" s="44"/>
      <c r="Z16" s="44"/>
      <c r="AA16" s="44"/>
      <c r="AB16" s="44"/>
      <c r="AC16" s="44"/>
      <c r="AD16" s="44"/>
      <c r="AF16" s="6">
        <v>0.5</v>
      </c>
    </row>
    <row r="17" spans="6:33" x14ac:dyDescent="0.2">
      <c r="V17" s="5" t="s">
        <v>15</v>
      </c>
      <c r="W17" s="44" t="s">
        <v>84</v>
      </c>
      <c r="X17" s="44"/>
      <c r="Y17" s="44"/>
      <c r="Z17" s="44"/>
      <c r="AA17" s="44"/>
      <c r="AB17" s="44"/>
      <c r="AC17" s="44"/>
      <c r="AD17" s="44"/>
      <c r="AF17" s="6">
        <v>0.5</v>
      </c>
    </row>
    <row r="18" spans="6:33" x14ac:dyDescent="0.2">
      <c r="F18" s="54">
        <f>D3</f>
        <v>5</v>
      </c>
      <c r="G18" s="54" t="str">
        <f>F18+1&amp;"-"&amp;H18</f>
        <v>6-9</v>
      </c>
      <c r="H18" s="54">
        <f>F18+H21</f>
        <v>9</v>
      </c>
      <c r="V18" s="5" t="s">
        <v>16</v>
      </c>
      <c r="W18" s="44" t="s">
        <v>32</v>
      </c>
      <c r="X18" s="44"/>
      <c r="Y18" s="44"/>
      <c r="Z18" s="44"/>
      <c r="AA18" s="44"/>
      <c r="AB18" s="44"/>
      <c r="AC18" s="44"/>
      <c r="AD18" s="44"/>
      <c r="AF18" s="6">
        <v>0.5</v>
      </c>
    </row>
    <row r="19" spans="6:33" x14ac:dyDescent="0.2">
      <c r="F19" s="80" t="s">
        <v>137</v>
      </c>
      <c r="G19" s="81"/>
      <c r="H19" s="82"/>
      <c r="V19" s="5" t="s">
        <v>18</v>
      </c>
      <c r="W19" s="44" t="s">
        <v>17</v>
      </c>
      <c r="X19" s="44"/>
      <c r="Y19" s="44"/>
      <c r="Z19" s="44"/>
      <c r="AA19" s="44"/>
      <c r="AB19" s="44"/>
      <c r="AC19" s="44"/>
      <c r="AD19" s="44"/>
      <c r="AF19" s="6">
        <v>1</v>
      </c>
    </row>
    <row r="20" spans="6:33" x14ac:dyDescent="0.2">
      <c r="F20" s="83"/>
      <c r="G20" s="84"/>
      <c r="H20" s="85"/>
      <c r="V20" s="5"/>
      <c r="Z20"/>
      <c r="AA20"/>
      <c r="AB20"/>
    </row>
    <row r="21" spans="6:33" x14ac:dyDescent="0.2">
      <c r="F21" s="54">
        <v>5</v>
      </c>
      <c r="G21" s="54" t="str">
        <f>V31</f>
        <v>Choose</v>
      </c>
      <c r="H21" s="54">
        <v>4</v>
      </c>
      <c r="V21" s="5"/>
      <c r="W21" s="86" t="s">
        <v>33</v>
      </c>
      <c r="X21" s="86"/>
      <c r="Y21" s="86"/>
      <c r="Z21" s="86"/>
      <c r="AA21" s="86"/>
      <c r="AB21" s="86"/>
      <c r="AC21" s="86"/>
      <c r="AD21" s="86"/>
      <c r="AE21" s="86"/>
      <c r="AF21" s="86"/>
    </row>
    <row r="22" spans="6:33" x14ac:dyDescent="0.2">
      <c r="O22" s="11"/>
      <c r="W22" s="86" t="s">
        <v>19</v>
      </c>
      <c r="X22" s="86"/>
      <c r="Y22" s="86"/>
      <c r="Z22" s="86"/>
      <c r="AA22" s="86"/>
      <c r="AB22" s="86"/>
      <c r="AC22" s="86"/>
      <c r="AD22" s="86"/>
      <c r="AE22" s="86"/>
      <c r="AF22" s="86"/>
    </row>
    <row r="23" spans="6:33" x14ac:dyDescent="0.2">
      <c r="Z23"/>
      <c r="AA23"/>
      <c r="AB23"/>
    </row>
    <row r="24" spans="6:33" ht="15" customHeight="1" x14ac:dyDescent="0.2"/>
    <row r="25" spans="6:33" ht="15" customHeight="1" x14ac:dyDescent="0.2">
      <c r="V25" s="48" t="s">
        <v>120</v>
      </c>
      <c r="W25" s="48" t="s">
        <v>133</v>
      </c>
      <c r="AA25" s="87" t="s">
        <v>142</v>
      </c>
      <c r="AB25" s="88"/>
      <c r="AC25" s="88"/>
      <c r="AD25" s="89"/>
      <c r="AE25" s="58" t="s">
        <v>144</v>
      </c>
      <c r="AF25" s="68">
        <v>5</v>
      </c>
      <c r="AG25" s="44"/>
    </row>
    <row r="26" spans="6:33" ht="15" customHeight="1" x14ac:dyDescent="0.2">
      <c r="V26" s="37" t="s">
        <v>121</v>
      </c>
      <c r="W26" s="50">
        <f>640/8</f>
        <v>80</v>
      </c>
      <c r="AA26" s="87" t="s">
        <v>146</v>
      </c>
      <c r="AB26" s="88"/>
      <c r="AC26" s="88"/>
      <c r="AD26" s="89"/>
      <c r="AE26" s="58" t="s">
        <v>145</v>
      </c>
      <c r="AF26" s="68">
        <v>4</v>
      </c>
      <c r="AG26" s="44"/>
    </row>
    <row r="27" spans="6:33" ht="15" customHeight="1" x14ac:dyDescent="0.2">
      <c r="V27" s="37" t="s">
        <v>122</v>
      </c>
      <c r="W27" s="50">
        <f>75</f>
        <v>75</v>
      </c>
      <c r="AA27" s="87" t="s">
        <v>143</v>
      </c>
      <c r="AB27" s="88"/>
      <c r="AC27" s="88"/>
      <c r="AD27" s="89"/>
      <c r="AE27" s="90">
        <f>AF25/(AF25+AF26)</f>
        <v>0.55555555555555558</v>
      </c>
      <c r="AF27" s="91"/>
      <c r="AG27" s="59"/>
    </row>
    <row r="28" spans="6:33" ht="15" customHeight="1" x14ac:dyDescent="0.2">
      <c r="V28" s="37" t="s">
        <v>123</v>
      </c>
      <c r="W28" s="50">
        <f>40</f>
        <v>40</v>
      </c>
    </row>
    <row r="29" spans="6:33" ht="15" customHeight="1" x14ac:dyDescent="0.2">
      <c r="V29" s="37" t="s">
        <v>124</v>
      </c>
      <c r="W29" s="50">
        <f>12000/15/8</f>
        <v>100</v>
      </c>
      <c r="AA29" s="73" t="s">
        <v>151</v>
      </c>
      <c r="AB29" s="73"/>
      <c r="AC29" s="73"/>
      <c r="AD29" s="73"/>
      <c r="AE29" s="58" t="s">
        <v>141</v>
      </c>
    </row>
    <row r="30" spans="6:33" ht="15" customHeight="1" x14ac:dyDescent="0.2">
      <c r="V30" s="37" t="s">
        <v>125</v>
      </c>
      <c r="W30" s="50">
        <f>50</f>
        <v>50</v>
      </c>
      <c r="AA30" s="73" t="s">
        <v>150</v>
      </c>
      <c r="AB30" s="73"/>
      <c r="AC30" s="73"/>
      <c r="AD30" s="73"/>
      <c r="AE30" s="56">
        <v>45966</v>
      </c>
    </row>
    <row r="31" spans="6:33" x14ac:dyDescent="0.2">
      <c r="V31" s="37" t="s">
        <v>126</v>
      </c>
      <c r="W31" s="50">
        <f>8400/30/8</f>
        <v>35</v>
      </c>
      <c r="AA31" s="73"/>
      <c r="AB31" s="73"/>
      <c r="AC31" s="73"/>
      <c r="AD31" s="73"/>
      <c r="AE31" s="57" t="s">
        <v>147</v>
      </c>
    </row>
    <row r="32" spans="6:33" ht="15" thickBot="1" x14ac:dyDescent="0.25">
      <c r="V32" s="37" t="s">
        <v>127</v>
      </c>
      <c r="W32" s="50">
        <f>480/8</f>
        <v>60</v>
      </c>
    </row>
    <row r="33" spans="22:31" ht="15" thickBot="1" x14ac:dyDescent="0.25">
      <c r="V33" s="37" t="s">
        <v>128</v>
      </c>
      <c r="W33" s="50">
        <f>30</f>
        <v>30</v>
      </c>
      <c r="AA33" s="92" t="s">
        <v>70</v>
      </c>
      <c r="AB33" s="93"/>
      <c r="AC33" s="93"/>
      <c r="AD33" s="93"/>
      <c r="AE33" s="94"/>
    </row>
    <row r="34" spans="22:31" ht="15" thickBot="1" x14ac:dyDescent="0.25">
      <c r="V34" s="37" t="s">
        <v>129</v>
      </c>
      <c r="W34" s="50">
        <f>85</f>
        <v>85</v>
      </c>
      <c r="AA34" s="38" t="s">
        <v>64</v>
      </c>
      <c r="AB34" s="39" t="s">
        <v>65</v>
      </c>
      <c r="AC34" s="39" t="s">
        <v>149</v>
      </c>
      <c r="AD34" s="39" t="s">
        <v>148</v>
      </c>
      <c r="AE34" s="40" t="s">
        <v>67</v>
      </c>
    </row>
    <row r="35" spans="22:31" x14ac:dyDescent="0.2">
      <c r="V35" s="37" t="s">
        <v>130</v>
      </c>
      <c r="W35" s="50">
        <f>6720/7/8</f>
        <v>120</v>
      </c>
      <c r="AA35" s="28">
        <v>1</v>
      </c>
      <c r="AB35" s="13" t="str">
        <f>C6</f>
        <v>Version</v>
      </c>
      <c r="AC35" s="60">
        <f>W27*D6*8</f>
        <v>3000</v>
      </c>
      <c r="AD35" s="60">
        <v>1000</v>
      </c>
      <c r="AE35" s="62">
        <f>AC35+AD35</f>
        <v>4000</v>
      </c>
    </row>
    <row r="36" spans="22:31" x14ac:dyDescent="0.2">
      <c r="V36" s="37" t="s">
        <v>131</v>
      </c>
      <c r="W36" s="50">
        <f>100</f>
        <v>100</v>
      </c>
      <c r="AA36" s="30">
        <v>2</v>
      </c>
      <c r="AB36" s="37" t="str">
        <f>G6</f>
        <v>UserId</v>
      </c>
      <c r="AC36" s="50">
        <f>W37*H6*8</f>
        <v>200</v>
      </c>
      <c r="AD36" s="50">
        <v>0</v>
      </c>
      <c r="AE36" s="62">
        <f t="shared" ref="AE36:AE43" si="0">AC36+AD36</f>
        <v>200</v>
      </c>
    </row>
    <row r="37" spans="22:31" x14ac:dyDescent="0.2">
      <c r="V37" s="37" t="s">
        <v>132</v>
      </c>
      <c r="W37" s="50">
        <f>200/8</f>
        <v>25</v>
      </c>
      <c r="AA37" s="30">
        <v>3</v>
      </c>
      <c r="AB37" s="37" t="str">
        <f>G11</f>
        <v>Where</v>
      </c>
      <c r="AC37" s="50">
        <f>W33*H11*8</f>
        <v>720</v>
      </c>
      <c r="AD37" s="50">
        <v>0</v>
      </c>
      <c r="AE37" s="62">
        <f t="shared" si="0"/>
        <v>720</v>
      </c>
    </row>
    <row r="38" spans="22:31" x14ac:dyDescent="0.2">
      <c r="AA38" s="30">
        <v>4</v>
      </c>
      <c r="AB38" s="37" t="str">
        <f>G16</f>
        <v>Parse</v>
      </c>
      <c r="AC38" s="50">
        <f>W28*H16*8</f>
        <v>1600</v>
      </c>
      <c r="AD38" s="50">
        <v>2500</v>
      </c>
      <c r="AE38" s="62">
        <f t="shared" si="0"/>
        <v>4100</v>
      </c>
    </row>
    <row r="39" spans="22:31" x14ac:dyDescent="0.2">
      <c r="AA39" s="30">
        <v>5</v>
      </c>
      <c r="AB39" s="37" t="str">
        <f>G21</f>
        <v>Choose</v>
      </c>
      <c r="AC39" s="50">
        <f>W31*H21*8</f>
        <v>1120</v>
      </c>
      <c r="AD39" s="50">
        <v>650</v>
      </c>
      <c r="AE39" s="62">
        <f t="shared" si="0"/>
        <v>1770</v>
      </c>
    </row>
    <row r="40" spans="22:31" x14ac:dyDescent="0.2">
      <c r="AA40" s="30">
        <v>6</v>
      </c>
      <c r="AB40" s="37" t="str">
        <f>K6</f>
        <v>Order</v>
      </c>
      <c r="AC40" s="50">
        <f>W35*L6*8</f>
        <v>960</v>
      </c>
      <c r="AD40" s="50">
        <v>1780</v>
      </c>
      <c r="AE40" s="62">
        <f t="shared" si="0"/>
        <v>2740</v>
      </c>
    </row>
    <row r="41" spans="22:31" x14ac:dyDescent="0.2">
      <c r="AA41" s="30">
        <v>7</v>
      </c>
      <c r="AB41" s="37" t="str">
        <f>O6</f>
        <v>Parse</v>
      </c>
      <c r="AC41" s="50">
        <f>W28*P6*8</f>
        <v>960</v>
      </c>
      <c r="AD41" s="50">
        <v>0</v>
      </c>
      <c r="AE41" s="62">
        <f t="shared" si="0"/>
        <v>960</v>
      </c>
    </row>
    <row r="42" spans="22:31" x14ac:dyDescent="0.2">
      <c r="AA42" s="30">
        <v>8</v>
      </c>
      <c r="AB42" s="37" t="str">
        <f>O11</f>
        <v>Choose</v>
      </c>
      <c r="AC42" s="50">
        <f>W31*P11*8</f>
        <v>1120</v>
      </c>
      <c r="AD42" s="50">
        <v>3000</v>
      </c>
      <c r="AE42" s="62">
        <f t="shared" si="0"/>
        <v>4120</v>
      </c>
    </row>
    <row r="43" spans="22:31" ht="15" thickBot="1" x14ac:dyDescent="0.25">
      <c r="AA43" s="41">
        <v>9</v>
      </c>
      <c r="AB43" s="12" t="str">
        <f>S6</f>
        <v>Select</v>
      </c>
      <c r="AC43" s="61">
        <f>W26*T6*8</f>
        <v>960</v>
      </c>
      <c r="AD43" s="61">
        <v>1500</v>
      </c>
      <c r="AE43" s="62">
        <f t="shared" si="0"/>
        <v>2460</v>
      </c>
    </row>
    <row r="44" spans="22:31" ht="15" thickBot="1" x14ac:dyDescent="0.25">
      <c r="AA44" s="71" t="s">
        <v>69</v>
      </c>
      <c r="AB44" s="72"/>
      <c r="AC44" s="72"/>
      <c r="AD44" s="72"/>
      <c r="AE44" s="63">
        <f>SUM(AE35:AE43)</f>
        <v>21070</v>
      </c>
    </row>
  </sheetData>
  <mergeCells count="20">
    <mergeCell ref="AA26:AD26"/>
    <mergeCell ref="AA27:AD27"/>
    <mergeCell ref="AE27:AF27"/>
    <mergeCell ref="AA33:AE33"/>
    <mergeCell ref="AA44:AD44"/>
    <mergeCell ref="AA30:AD31"/>
    <mergeCell ref="AA29:AD29"/>
    <mergeCell ref="A1:J1"/>
    <mergeCell ref="J4:L5"/>
    <mergeCell ref="N4:P5"/>
    <mergeCell ref="W22:AF22"/>
    <mergeCell ref="W21:AF21"/>
    <mergeCell ref="B4:D5"/>
    <mergeCell ref="F4:H5"/>
    <mergeCell ref="F9:H10"/>
    <mergeCell ref="F14:H15"/>
    <mergeCell ref="F19:H20"/>
    <mergeCell ref="N9:P10"/>
    <mergeCell ref="R4:T5"/>
    <mergeCell ref="AA25:AD2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C36"/>
  <sheetViews>
    <sheetView topLeftCell="A3" zoomScale="80" zoomScaleNormal="80" workbookViewId="0">
      <selection activeCell="X34" sqref="X34"/>
    </sheetView>
  </sheetViews>
  <sheetFormatPr defaultRowHeight="14.25" x14ac:dyDescent="0.2"/>
  <cols>
    <col min="1" max="1" width="2.88671875" customWidth="1"/>
    <col min="2" max="2" width="3.5546875" customWidth="1"/>
    <col min="3" max="3" width="6.88671875" customWidth="1"/>
    <col min="4" max="4" width="3.44140625" customWidth="1"/>
    <col min="5" max="5" width="2.88671875" customWidth="1"/>
    <col min="6" max="6" width="3.6640625" customWidth="1"/>
    <col min="8" max="8" width="3.6640625" bestFit="1" customWidth="1"/>
    <col min="9" max="9" width="2.6640625" customWidth="1"/>
    <col min="10" max="10" width="4.21875" customWidth="1"/>
    <col min="11" max="11" width="7.44140625" customWidth="1"/>
    <col min="12" max="12" width="4.33203125" customWidth="1"/>
    <col min="13" max="13" width="4" customWidth="1"/>
    <col min="14" max="14" width="3.109375" customWidth="1"/>
    <col min="15" max="15" width="6.33203125" bestFit="1" customWidth="1"/>
    <col min="16" max="16" width="10.5546875" bestFit="1" customWidth="1"/>
    <col min="17" max="17" width="10" bestFit="1" customWidth="1"/>
    <col min="18" max="18" width="14" bestFit="1" customWidth="1"/>
    <col min="19" max="19" width="14.44140625" customWidth="1"/>
    <col min="20" max="20" width="3.5546875" customWidth="1"/>
    <col min="21" max="21" width="2.88671875" customWidth="1"/>
    <col min="22" max="22" width="11.109375" bestFit="1" customWidth="1"/>
    <col min="23" max="23" width="16.6640625" bestFit="1" customWidth="1"/>
    <col min="24" max="24" width="15.5546875" bestFit="1" customWidth="1"/>
    <col min="25" max="25" width="11.88671875" bestFit="1" customWidth="1"/>
    <col min="26" max="26" width="9.88671875" bestFit="1" customWidth="1"/>
    <col min="27" max="27" width="2.88671875" customWidth="1"/>
    <col min="28" max="28" width="11.109375" bestFit="1" customWidth="1"/>
  </cols>
  <sheetData>
    <row r="1" spans="2:28" x14ac:dyDescent="0.2">
      <c r="G1" s="8" t="s">
        <v>7</v>
      </c>
      <c r="H1" s="9">
        <v>1.5</v>
      </c>
      <c r="N1" s="69" t="str">
        <f>Id!B1</f>
        <v>Preencher o nome e RA na Planilha Id, células C9 e C10</v>
      </c>
      <c r="O1" s="69"/>
      <c r="P1" s="69"/>
      <c r="Q1" s="69"/>
      <c r="R1" s="69"/>
      <c r="S1" s="69"/>
      <c r="T1" s="69"/>
      <c r="U1" s="69"/>
      <c r="V1" s="69"/>
    </row>
    <row r="2" spans="2:28" ht="15" thickBot="1" x14ac:dyDescent="0.25"/>
    <row r="3" spans="2:28" ht="15" thickBot="1" x14ac:dyDescent="0.25">
      <c r="B3" s="53">
        <v>0</v>
      </c>
      <c r="C3" s="53" t="str">
        <f>B3+1&amp;"-"&amp;D3</f>
        <v>1-1</v>
      </c>
      <c r="D3" s="66">
        <f>B3+D6</f>
        <v>1</v>
      </c>
      <c r="F3" s="66">
        <f>D3</f>
        <v>1</v>
      </c>
      <c r="G3" s="53" t="str">
        <f>F3+1&amp;"-"&amp;H3</f>
        <v>2-2,5</v>
      </c>
      <c r="H3" s="66">
        <f>F3+H6</f>
        <v>2.5</v>
      </c>
      <c r="J3" s="66">
        <f>H3</f>
        <v>2.5</v>
      </c>
      <c r="K3" s="53" t="str">
        <f>J3+1&amp;"-"&amp;L3</f>
        <v>3,5-5,5</v>
      </c>
      <c r="L3" s="66">
        <f>J3+L6</f>
        <v>5.5</v>
      </c>
      <c r="O3" s="92" t="s">
        <v>70</v>
      </c>
      <c r="P3" s="93"/>
      <c r="Q3" s="93"/>
      <c r="R3" s="93"/>
      <c r="S3" s="94"/>
      <c r="V3" s="14" t="s">
        <v>43</v>
      </c>
      <c r="W3" s="14" t="s">
        <v>44</v>
      </c>
      <c r="X3" s="14" t="s">
        <v>45</v>
      </c>
      <c r="Y3" s="14" t="s">
        <v>46</v>
      </c>
      <c r="Z3" s="14" t="s">
        <v>47</v>
      </c>
      <c r="AB3" s="14" t="s">
        <v>48</v>
      </c>
    </row>
    <row r="4" spans="2:28" ht="15" thickBot="1" x14ac:dyDescent="0.25">
      <c r="B4" s="74" t="s">
        <v>71</v>
      </c>
      <c r="C4" s="75"/>
      <c r="D4" s="76"/>
      <c r="F4" s="74" t="s">
        <v>72</v>
      </c>
      <c r="G4" s="75"/>
      <c r="H4" s="76"/>
      <c r="J4" s="74" t="s">
        <v>74</v>
      </c>
      <c r="K4" s="75"/>
      <c r="L4" s="76"/>
      <c r="O4" s="38" t="s">
        <v>64</v>
      </c>
      <c r="P4" s="39" t="s">
        <v>65</v>
      </c>
      <c r="Q4" s="39" t="s">
        <v>68</v>
      </c>
      <c r="R4" s="39" t="s">
        <v>66</v>
      </c>
      <c r="S4" s="40" t="s">
        <v>67</v>
      </c>
      <c r="V4" s="14" t="s">
        <v>102</v>
      </c>
      <c r="W4" s="14">
        <v>2</v>
      </c>
      <c r="X4" s="21">
        <v>1.5</v>
      </c>
      <c r="Y4" s="22">
        <v>42.35</v>
      </c>
      <c r="Z4" s="23" t="s">
        <v>49</v>
      </c>
      <c r="AB4" s="23">
        <f>Y4</f>
        <v>42.35</v>
      </c>
    </row>
    <row r="5" spans="2:28" x14ac:dyDescent="0.2">
      <c r="B5" s="77"/>
      <c r="C5" s="78"/>
      <c r="D5" s="79"/>
      <c r="F5" s="77"/>
      <c r="G5" s="78"/>
      <c r="H5" s="79"/>
      <c r="J5" s="77"/>
      <c r="K5" s="78"/>
      <c r="L5" s="79"/>
      <c r="O5" s="28">
        <v>1</v>
      </c>
      <c r="P5" s="13" t="str">
        <f>V11</f>
        <v>Rachel</v>
      </c>
      <c r="Q5" s="60">
        <f>AB11</f>
        <v>74.196428571428569</v>
      </c>
      <c r="R5" s="64">
        <f>X11</f>
        <v>1</v>
      </c>
      <c r="S5" s="62">
        <f>Q5*R5</f>
        <v>74.196428571428569</v>
      </c>
      <c r="V5" s="95" t="s">
        <v>103</v>
      </c>
      <c r="W5" s="15">
        <v>2</v>
      </c>
      <c r="X5" s="16">
        <v>3.5</v>
      </c>
      <c r="Y5" s="97">
        <v>180</v>
      </c>
      <c r="Z5" s="97" t="s">
        <v>50</v>
      </c>
      <c r="AB5" s="97">
        <f>Y5/8</f>
        <v>22.5</v>
      </c>
    </row>
    <row r="6" spans="2:28" ht="15" thickBot="1" x14ac:dyDescent="0.25">
      <c r="B6" s="53">
        <v>1</v>
      </c>
      <c r="C6" s="53" t="str">
        <f>P5</f>
        <v>Rachel</v>
      </c>
      <c r="D6" s="66">
        <f>R5</f>
        <v>1</v>
      </c>
      <c r="F6" s="53">
        <v>2</v>
      </c>
      <c r="G6" s="53" t="str">
        <f>P6</f>
        <v>Clarice</v>
      </c>
      <c r="H6" s="66">
        <f>R6</f>
        <v>1.5</v>
      </c>
      <c r="J6" s="53">
        <v>4</v>
      </c>
      <c r="K6" s="53" t="str">
        <f>P8</f>
        <v>Rachel</v>
      </c>
      <c r="L6" s="66">
        <f>R8</f>
        <v>3</v>
      </c>
      <c r="O6" s="30">
        <v>2</v>
      </c>
      <c r="P6" s="37" t="str">
        <f>V4</f>
        <v>Clarice</v>
      </c>
      <c r="Q6" s="50">
        <f>AB4</f>
        <v>42.35</v>
      </c>
      <c r="R6" s="49">
        <f>X4</f>
        <v>1.5</v>
      </c>
      <c r="S6" s="62">
        <f t="shared" ref="S6:S10" si="0">Q6*R6</f>
        <v>63.525000000000006</v>
      </c>
      <c r="V6" s="96"/>
      <c r="W6" s="19">
        <v>3</v>
      </c>
      <c r="X6" s="20">
        <v>2</v>
      </c>
      <c r="Y6" s="98"/>
      <c r="Z6" s="98"/>
      <c r="AB6" s="98"/>
    </row>
    <row r="7" spans="2:28" x14ac:dyDescent="0.2">
      <c r="F7" s="11"/>
      <c r="G7" s="11"/>
      <c r="H7" s="11"/>
      <c r="O7" s="30">
        <v>3</v>
      </c>
      <c r="P7" s="37" t="str">
        <f>V9</f>
        <v>Lygia</v>
      </c>
      <c r="Q7" s="50">
        <f>AB9</f>
        <v>28.49</v>
      </c>
      <c r="R7" s="49">
        <f>X10</f>
        <v>1.5</v>
      </c>
      <c r="S7" s="62">
        <f t="shared" si="0"/>
        <v>42.734999999999999</v>
      </c>
      <c r="V7" s="100" t="s">
        <v>104</v>
      </c>
      <c r="W7" s="24">
        <v>1</v>
      </c>
      <c r="X7" s="25">
        <v>2.5</v>
      </c>
      <c r="Y7" s="97">
        <v>160</v>
      </c>
      <c r="Z7" s="97" t="s">
        <v>50</v>
      </c>
      <c r="AB7" s="97">
        <f>Y7/8</f>
        <v>20</v>
      </c>
    </row>
    <row r="8" spans="2:28" ht="15" thickBot="1" x14ac:dyDescent="0.25">
      <c r="F8" s="66">
        <f>D3</f>
        <v>1</v>
      </c>
      <c r="G8" s="53" t="str">
        <f>F8+1&amp;"-"&amp;H8</f>
        <v>2-2,5</v>
      </c>
      <c r="H8" s="66">
        <f>F8+H11</f>
        <v>2.5</v>
      </c>
      <c r="J8" s="67">
        <f>H3</f>
        <v>2.5</v>
      </c>
      <c r="K8" s="54" t="str">
        <f>J8+1&amp;"-"&amp;L8</f>
        <v>3,5-4</v>
      </c>
      <c r="L8" s="67">
        <f>J8+L11</f>
        <v>4</v>
      </c>
      <c r="O8" s="30">
        <v>4</v>
      </c>
      <c r="P8" s="37" t="str">
        <f>V11</f>
        <v>Rachel</v>
      </c>
      <c r="Q8" s="50">
        <f>AB11</f>
        <v>74.196428571428569</v>
      </c>
      <c r="R8" s="49">
        <f>X12</f>
        <v>3</v>
      </c>
      <c r="S8" s="62">
        <f t="shared" si="0"/>
        <v>222.58928571428572</v>
      </c>
      <c r="V8" s="101"/>
      <c r="W8" s="19">
        <v>4</v>
      </c>
      <c r="X8" s="20">
        <v>4.5</v>
      </c>
      <c r="Y8" s="98"/>
      <c r="Z8" s="98"/>
      <c r="AB8" s="98"/>
    </row>
    <row r="9" spans="2:28" x14ac:dyDescent="0.2">
      <c r="F9" s="74" t="s">
        <v>73</v>
      </c>
      <c r="G9" s="75"/>
      <c r="H9" s="76"/>
      <c r="J9" s="80" t="s">
        <v>75</v>
      </c>
      <c r="K9" s="81"/>
      <c r="L9" s="82"/>
      <c r="O9" s="30">
        <v>5</v>
      </c>
      <c r="P9" s="37" t="str">
        <f>V13</f>
        <v>Carolina</v>
      </c>
      <c r="Q9" s="50">
        <f>AB13</f>
        <v>43</v>
      </c>
      <c r="R9" s="49">
        <f>X13</f>
        <v>1.5</v>
      </c>
      <c r="S9" s="62">
        <f t="shared" si="0"/>
        <v>64.5</v>
      </c>
      <c r="V9" s="95" t="s">
        <v>105</v>
      </c>
      <c r="W9" s="15">
        <v>1</v>
      </c>
      <c r="X9" s="16">
        <v>2</v>
      </c>
      <c r="Y9" s="97">
        <v>28.49</v>
      </c>
      <c r="Z9" s="97" t="s">
        <v>49</v>
      </c>
      <c r="AB9" s="97">
        <f>Y9</f>
        <v>28.49</v>
      </c>
    </row>
    <row r="10" spans="2:28" ht="15" thickBot="1" x14ac:dyDescent="0.25">
      <c r="F10" s="77"/>
      <c r="G10" s="78"/>
      <c r="H10" s="79"/>
      <c r="J10" s="83"/>
      <c r="K10" s="84"/>
      <c r="L10" s="85"/>
      <c r="O10" s="41">
        <v>6</v>
      </c>
      <c r="P10" s="12" t="str">
        <f>V15</f>
        <v>Hilda</v>
      </c>
      <c r="Q10" s="61">
        <f>AB15</f>
        <v>25</v>
      </c>
      <c r="R10" s="65">
        <f>X15</f>
        <v>2.5</v>
      </c>
      <c r="S10" s="62">
        <f t="shared" si="0"/>
        <v>62.5</v>
      </c>
      <c r="V10" s="96"/>
      <c r="W10" s="19">
        <v>3</v>
      </c>
      <c r="X10" s="20">
        <v>1.5</v>
      </c>
      <c r="Y10" s="98"/>
      <c r="Z10" s="98"/>
      <c r="AB10" s="98"/>
    </row>
    <row r="11" spans="2:28" ht="15" thickBot="1" x14ac:dyDescent="0.25">
      <c r="F11" s="53">
        <v>3</v>
      </c>
      <c r="G11" s="53" t="str">
        <f>P7</f>
        <v>Lygia</v>
      </c>
      <c r="H11" s="66">
        <f>R7</f>
        <v>1.5</v>
      </c>
      <c r="J11" s="54">
        <v>5</v>
      </c>
      <c r="K11" s="54" t="str">
        <f>P9</f>
        <v>Carolina</v>
      </c>
      <c r="L11" s="67">
        <f>R9</f>
        <v>1.5</v>
      </c>
      <c r="O11" s="71" t="s">
        <v>69</v>
      </c>
      <c r="P11" s="72"/>
      <c r="Q11" s="72"/>
      <c r="R11" s="72"/>
      <c r="S11" s="63">
        <f>SUM(S5:S10)</f>
        <v>530.04571428571433</v>
      </c>
      <c r="V11" s="95" t="s">
        <v>106</v>
      </c>
      <c r="W11" s="15">
        <v>1</v>
      </c>
      <c r="X11" s="16">
        <v>1</v>
      </c>
      <c r="Y11" s="97">
        <v>4155</v>
      </c>
      <c r="Z11" s="97" t="s">
        <v>52</v>
      </c>
      <c r="AB11" s="97">
        <f>Y11/7/8</f>
        <v>74.196428571428569</v>
      </c>
    </row>
    <row r="12" spans="2:28" ht="15" thickBot="1" x14ac:dyDescent="0.25">
      <c r="J12" s="55"/>
      <c r="K12" s="55"/>
      <c r="L12" s="55"/>
      <c r="V12" s="96"/>
      <c r="W12" s="19">
        <v>4</v>
      </c>
      <c r="X12" s="20">
        <v>3</v>
      </c>
      <c r="Y12" s="98"/>
      <c r="Z12" s="98"/>
      <c r="AB12" s="98"/>
    </row>
    <row r="13" spans="2:28" x14ac:dyDescent="0.2">
      <c r="J13" s="67">
        <f>H8</f>
        <v>2.5</v>
      </c>
      <c r="K13" s="54" t="str">
        <f>J13+1&amp;"-"&amp;L13</f>
        <v>3,5-5</v>
      </c>
      <c r="L13" s="67">
        <f>J13+L16</f>
        <v>5</v>
      </c>
      <c r="V13" s="95" t="s">
        <v>108</v>
      </c>
      <c r="W13" s="15">
        <v>5</v>
      </c>
      <c r="X13" s="16">
        <v>1.5</v>
      </c>
      <c r="Y13" s="97">
        <v>344</v>
      </c>
      <c r="Z13" s="97" t="s">
        <v>50</v>
      </c>
      <c r="AB13" s="97">
        <f>Y13/8</f>
        <v>43</v>
      </c>
    </row>
    <row r="14" spans="2:28" ht="15" thickBot="1" x14ac:dyDescent="0.25">
      <c r="J14" s="80" t="s">
        <v>76</v>
      </c>
      <c r="K14" s="81"/>
      <c r="L14" s="82"/>
      <c r="V14" s="96"/>
      <c r="W14" s="19">
        <v>6</v>
      </c>
      <c r="X14" s="20">
        <v>1</v>
      </c>
      <c r="Y14" s="98"/>
      <c r="Z14" s="98"/>
      <c r="AB14" s="98"/>
    </row>
    <row r="15" spans="2:28" ht="15" thickBot="1" x14ac:dyDescent="0.25">
      <c r="J15" s="83"/>
      <c r="K15" s="84"/>
      <c r="L15" s="85"/>
      <c r="V15" s="35" t="s">
        <v>107</v>
      </c>
      <c r="W15" s="14">
        <v>6</v>
      </c>
      <c r="X15" s="21">
        <v>2.5</v>
      </c>
      <c r="Y15" s="34">
        <v>3000</v>
      </c>
      <c r="Z15" s="34" t="s">
        <v>53</v>
      </c>
      <c r="AB15" s="34">
        <f>Y15/15/8</f>
        <v>25</v>
      </c>
    </row>
    <row r="16" spans="2:28" x14ac:dyDescent="0.2">
      <c r="J16" s="54">
        <v>6</v>
      </c>
      <c r="K16" s="54" t="str">
        <f>P10</f>
        <v>Hilda</v>
      </c>
      <c r="L16" s="67">
        <f>R10</f>
        <v>2.5</v>
      </c>
      <c r="V16" s="95" t="s">
        <v>110</v>
      </c>
      <c r="W16" s="15">
        <v>3</v>
      </c>
      <c r="X16" s="16">
        <v>2.5</v>
      </c>
      <c r="Y16" s="97">
        <v>8900</v>
      </c>
      <c r="Z16" s="97" t="s">
        <v>51</v>
      </c>
      <c r="AB16" s="97">
        <f>Y16/30/8</f>
        <v>37.083333333333336</v>
      </c>
    </row>
    <row r="17" spans="2:29" ht="15" thickBot="1" x14ac:dyDescent="0.25">
      <c r="D17" s="10"/>
      <c r="E17" s="10"/>
      <c r="V17" s="96"/>
      <c r="W17" s="19">
        <v>4</v>
      </c>
      <c r="X17" s="20">
        <v>4</v>
      </c>
      <c r="Y17" s="98"/>
      <c r="Z17" s="98"/>
      <c r="AB17" s="98"/>
    </row>
    <row r="18" spans="2:29" x14ac:dyDescent="0.2">
      <c r="D18" s="10"/>
      <c r="E18" s="10"/>
      <c r="V18" s="100" t="s">
        <v>109</v>
      </c>
      <c r="W18" s="15">
        <v>1</v>
      </c>
      <c r="X18" s="16">
        <v>1.5</v>
      </c>
      <c r="Y18" s="97">
        <v>34.9</v>
      </c>
      <c r="Z18" s="97" t="s">
        <v>49</v>
      </c>
      <c r="AB18" s="97">
        <f>Y18</f>
        <v>34.9</v>
      </c>
    </row>
    <row r="19" spans="2:29" x14ac:dyDescent="0.2">
      <c r="B19" s="36" t="s">
        <v>61</v>
      </c>
      <c r="D19" s="10"/>
      <c r="E19" s="10"/>
      <c r="V19" s="106"/>
      <c r="W19" s="17">
        <v>5</v>
      </c>
      <c r="X19" s="18">
        <v>2</v>
      </c>
      <c r="Y19" s="99"/>
      <c r="Z19" s="99"/>
      <c r="AB19" s="99"/>
    </row>
    <row r="20" spans="2:29" ht="15" thickBot="1" x14ac:dyDescent="0.25">
      <c r="B20" t="s">
        <v>85</v>
      </c>
      <c r="D20" s="10"/>
      <c r="E20" s="10"/>
      <c r="V20" s="101"/>
      <c r="W20" s="19">
        <v>6</v>
      </c>
      <c r="X20" s="20">
        <v>2.5</v>
      </c>
      <c r="Y20" s="98"/>
      <c r="Z20" s="98"/>
      <c r="AB20" s="98"/>
    </row>
    <row r="21" spans="2:29" ht="15" thickBot="1" x14ac:dyDescent="0.25">
      <c r="B21" s="36" t="s">
        <v>62</v>
      </c>
      <c r="D21" s="10"/>
      <c r="E21" s="10"/>
    </row>
    <row r="22" spans="2:29" ht="15" thickBot="1" x14ac:dyDescent="0.25">
      <c r="B22" t="s">
        <v>59</v>
      </c>
      <c r="D22" s="10"/>
      <c r="E22" s="10"/>
      <c r="AB22" s="26" t="s">
        <v>46</v>
      </c>
      <c r="AC22" s="27" t="s">
        <v>54</v>
      </c>
    </row>
    <row r="23" spans="2:29" x14ac:dyDescent="0.2">
      <c r="B23" t="s">
        <v>60</v>
      </c>
      <c r="D23" s="10"/>
      <c r="E23" s="10"/>
      <c r="AB23" s="28" t="s">
        <v>55</v>
      </c>
      <c r="AC23" s="29" t="s">
        <v>49</v>
      </c>
    </row>
    <row r="24" spans="2:29" x14ac:dyDescent="0.2">
      <c r="D24" s="10"/>
      <c r="E24" s="10"/>
      <c r="AB24" s="30" t="s">
        <v>56</v>
      </c>
      <c r="AC24" s="31" t="s">
        <v>50</v>
      </c>
    </row>
    <row r="25" spans="2:29" x14ac:dyDescent="0.2">
      <c r="B25" t="s">
        <v>40</v>
      </c>
      <c r="AB25" s="30" t="s">
        <v>57</v>
      </c>
      <c r="AC25" s="31" t="s">
        <v>50</v>
      </c>
    </row>
    <row r="26" spans="2:29" ht="15" thickBot="1" x14ac:dyDescent="0.25">
      <c r="B26" t="s">
        <v>63</v>
      </c>
      <c r="O26" s="87" t="s">
        <v>142</v>
      </c>
      <c r="P26" s="88"/>
      <c r="Q26" s="88"/>
      <c r="R26" s="89"/>
      <c r="S26" s="58" t="s">
        <v>152</v>
      </c>
      <c r="T26" s="68">
        <v>4</v>
      </c>
      <c r="AB26" s="32" t="s">
        <v>58</v>
      </c>
      <c r="AC26" s="33" t="s">
        <v>50</v>
      </c>
    </row>
    <row r="27" spans="2:29" x14ac:dyDescent="0.2">
      <c r="B27" t="s">
        <v>86</v>
      </c>
      <c r="O27" s="87" t="s">
        <v>154</v>
      </c>
      <c r="P27" s="88"/>
      <c r="Q27" s="88"/>
      <c r="R27" s="89"/>
      <c r="S27" s="58" t="s">
        <v>153</v>
      </c>
      <c r="T27" s="68">
        <v>2</v>
      </c>
    </row>
    <row r="28" spans="2:29" x14ac:dyDescent="0.2">
      <c r="B28" t="s">
        <v>77</v>
      </c>
      <c r="O28" s="87" t="s">
        <v>143</v>
      </c>
      <c r="P28" s="88"/>
      <c r="Q28" s="88"/>
      <c r="R28" s="89"/>
      <c r="S28" s="90">
        <f>T26/(T26+T27)</f>
        <v>0.66666666666666663</v>
      </c>
      <c r="T28" s="91"/>
    </row>
    <row r="29" spans="2:29" x14ac:dyDescent="0.2">
      <c r="B29" t="s">
        <v>78</v>
      </c>
      <c r="S29" s="42"/>
      <c r="T29" s="42"/>
    </row>
    <row r="30" spans="2:29" x14ac:dyDescent="0.2">
      <c r="B30" t="s">
        <v>79</v>
      </c>
      <c r="O30" s="73" t="s">
        <v>151</v>
      </c>
      <c r="P30" s="73"/>
      <c r="Q30" s="73"/>
      <c r="R30" s="73"/>
      <c r="S30" s="107" t="s">
        <v>157</v>
      </c>
      <c r="T30" s="108"/>
    </row>
    <row r="31" spans="2:29" x14ac:dyDescent="0.2">
      <c r="B31" t="s">
        <v>88</v>
      </c>
      <c r="O31" s="73" t="s">
        <v>155</v>
      </c>
      <c r="P31" s="73"/>
      <c r="Q31" s="73"/>
      <c r="R31" s="73"/>
      <c r="S31" s="102">
        <v>45964</v>
      </c>
      <c r="T31" s="103"/>
    </row>
    <row r="32" spans="2:29" x14ac:dyDescent="0.2">
      <c r="B32" t="s">
        <v>98</v>
      </c>
      <c r="O32" s="73"/>
      <c r="P32" s="73"/>
      <c r="Q32" s="73"/>
      <c r="R32" s="73"/>
      <c r="S32" s="104" t="s">
        <v>156</v>
      </c>
      <c r="T32" s="105"/>
    </row>
    <row r="33" spans="2:2" x14ac:dyDescent="0.2">
      <c r="B33" t="s">
        <v>87</v>
      </c>
    </row>
    <row r="34" spans="2:2" x14ac:dyDescent="0.2">
      <c r="B34" t="s">
        <v>89</v>
      </c>
    </row>
    <row r="35" spans="2:2" x14ac:dyDescent="0.2">
      <c r="B35" t="s">
        <v>99</v>
      </c>
    </row>
    <row r="36" spans="2:2" x14ac:dyDescent="0.2">
      <c r="B36" t="s">
        <v>100</v>
      </c>
    </row>
  </sheetData>
  <mergeCells count="46">
    <mergeCell ref="O31:R32"/>
    <mergeCell ref="S31:T31"/>
    <mergeCell ref="S32:T32"/>
    <mergeCell ref="V18:V20"/>
    <mergeCell ref="Y18:Y20"/>
    <mergeCell ref="O30:R30"/>
    <mergeCell ref="S30:T30"/>
    <mergeCell ref="O26:R26"/>
    <mergeCell ref="O27:R27"/>
    <mergeCell ref="O28:R28"/>
    <mergeCell ref="S28:T28"/>
    <mergeCell ref="AB11:AB12"/>
    <mergeCell ref="V13:V14"/>
    <mergeCell ref="Y13:Y14"/>
    <mergeCell ref="Z13:Z14"/>
    <mergeCell ref="AB13:AB14"/>
    <mergeCell ref="V16:V17"/>
    <mergeCell ref="Y16:Y17"/>
    <mergeCell ref="Z16:Z17"/>
    <mergeCell ref="Z18:Z20"/>
    <mergeCell ref="AB18:AB20"/>
    <mergeCell ref="AB16:AB17"/>
    <mergeCell ref="J14:L15"/>
    <mergeCell ref="V5:V6"/>
    <mergeCell ref="Y5:Y6"/>
    <mergeCell ref="Z5:Z6"/>
    <mergeCell ref="AB5:AB6"/>
    <mergeCell ref="J4:L5"/>
    <mergeCell ref="Y9:Y10"/>
    <mergeCell ref="Z9:Z10"/>
    <mergeCell ref="AB9:AB10"/>
    <mergeCell ref="V7:V8"/>
    <mergeCell ref="Y7:Y8"/>
    <mergeCell ref="Z7:Z8"/>
    <mergeCell ref="AB7:AB8"/>
    <mergeCell ref="V11:V12"/>
    <mergeCell ref="Y11:Y12"/>
    <mergeCell ref="Z11:Z12"/>
    <mergeCell ref="B4:D5"/>
    <mergeCell ref="N1:V1"/>
    <mergeCell ref="O3:S3"/>
    <mergeCell ref="O11:R11"/>
    <mergeCell ref="J9:L10"/>
    <mergeCell ref="F4:H5"/>
    <mergeCell ref="F9:H10"/>
    <mergeCell ref="V9:V10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E28"/>
  <sheetViews>
    <sheetView tabSelected="1" topLeftCell="H1" zoomScale="85" zoomScaleNormal="85" workbookViewId="0">
      <selection activeCell="F20" sqref="F20"/>
    </sheetView>
  </sheetViews>
  <sheetFormatPr defaultRowHeight="14.25" x14ac:dyDescent="0.2"/>
  <cols>
    <col min="1" max="1" width="2.77734375" customWidth="1"/>
    <col min="3" max="3" width="14.21875" customWidth="1"/>
    <col min="6" max="6" width="12.6640625" customWidth="1"/>
    <col min="7" max="7" width="18.88671875" customWidth="1"/>
    <col min="8" max="8" width="12.77734375" customWidth="1"/>
    <col min="9" max="9" width="16.77734375" customWidth="1"/>
    <col min="10" max="10" width="3.33203125" customWidth="1"/>
    <col min="11" max="11" width="4.77734375" customWidth="1"/>
    <col min="12" max="12" width="12.77734375" customWidth="1"/>
    <col min="13" max="13" width="6.6640625" customWidth="1"/>
    <col min="14" max="14" width="3.21875" customWidth="1"/>
    <col min="15" max="15" width="5.5546875" customWidth="1"/>
    <col min="16" max="16" width="12.6640625" customWidth="1"/>
    <col min="17" max="17" width="8" customWidth="1"/>
    <col min="18" max="18" width="3.6640625" customWidth="1"/>
    <col min="19" max="19" width="3" bestFit="1" customWidth="1"/>
    <col min="20" max="20" width="7.5546875" customWidth="1"/>
    <col min="21" max="21" width="3" bestFit="1" customWidth="1"/>
    <col min="22" max="22" width="2.77734375" customWidth="1"/>
    <col min="23" max="23" width="5.21875" customWidth="1"/>
    <col min="24" max="24" width="11.88671875" customWidth="1"/>
    <col min="25" max="25" width="6.44140625" customWidth="1"/>
    <col min="26" max="26" width="4.21875" customWidth="1"/>
    <col min="27" max="27" width="4.5546875" customWidth="1"/>
    <col min="28" max="28" width="7.109375" customWidth="1"/>
    <col min="29" max="29" width="5" bestFit="1" customWidth="1"/>
  </cols>
  <sheetData>
    <row r="1" spans="2:29" x14ac:dyDescent="0.2">
      <c r="B1" s="69" t="str">
        <f>Id!B1</f>
        <v>Preencher o nome e RA na Planilha Id, células C9 e C10</v>
      </c>
      <c r="C1" s="69"/>
      <c r="D1" s="69"/>
      <c r="E1" s="69"/>
      <c r="F1" s="69"/>
      <c r="G1" s="8" t="s">
        <v>7</v>
      </c>
      <c r="H1" s="9">
        <v>1.5</v>
      </c>
    </row>
    <row r="3" spans="2:29" x14ac:dyDescent="0.2">
      <c r="B3" t="s">
        <v>39</v>
      </c>
      <c r="K3" s="53">
        <v>0</v>
      </c>
      <c r="L3" s="53" t="str">
        <f>K3+1&amp;"-"&amp;M3</f>
        <v>1-2,5</v>
      </c>
      <c r="M3" s="53">
        <f>K3+M6</f>
        <v>2.5</v>
      </c>
      <c r="N3" s="51"/>
      <c r="O3" s="54">
        <f>M3</f>
        <v>2.5</v>
      </c>
      <c r="P3" s="54" t="str">
        <f>O3+1&amp;"-"&amp;Q3</f>
        <v>3,5-3,5</v>
      </c>
      <c r="Q3" s="54">
        <f>O3+Q6</f>
        <v>3.5</v>
      </c>
      <c r="S3" s="53">
        <f>Q13</f>
        <v>5</v>
      </c>
      <c r="T3" s="53" t="str">
        <f>S3+1&amp;"-"&amp;U3</f>
        <v>6-6</v>
      </c>
      <c r="U3" s="53">
        <f>S3+U6</f>
        <v>6</v>
      </c>
      <c r="W3" s="54">
        <f>U3</f>
        <v>6</v>
      </c>
      <c r="X3" s="54" t="str">
        <f>W3+1&amp;"-"&amp;Y3</f>
        <v>7-7,5</v>
      </c>
      <c r="Y3" s="54">
        <f>W3+Y6</f>
        <v>7.5</v>
      </c>
      <c r="AA3" s="53">
        <f>Y8</f>
        <v>8</v>
      </c>
      <c r="AB3" s="53" t="str">
        <f>AA3+1&amp;"-"&amp;AC3</f>
        <v>9-9,5</v>
      </c>
      <c r="AC3" s="53">
        <f>AA3+AC6</f>
        <v>9.5</v>
      </c>
    </row>
    <row r="4" spans="2:29" x14ac:dyDescent="0.2">
      <c r="B4" t="s">
        <v>90</v>
      </c>
      <c r="K4" s="74" t="s">
        <v>119</v>
      </c>
      <c r="L4" s="75"/>
      <c r="M4" s="76"/>
      <c r="N4" s="52"/>
      <c r="O4" s="80" t="s">
        <v>134</v>
      </c>
      <c r="P4" s="81"/>
      <c r="Q4" s="82"/>
      <c r="S4" s="74" t="s">
        <v>114</v>
      </c>
      <c r="T4" s="75"/>
      <c r="U4" s="76"/>
      <c r="W4" s="80" t="s">
        <v>139</v>
      </c>
      <c r="X4" s="81"/>
      <c r="Y4" s="82"/>
      <c r="AA4" s="74" t="s">
        <v>140</v>
      </c>
      <c r="AB4" s="75"/>
      <c r="AC4" s="76"/>
    </row>
    <row r="5" spans="2:29" x14ac:dyDescent="0.2">
      <c r="K5" s="77"/>
      <c r="L5" s="78"/>
      <c r="M5" s="79"/>
      <c r="N5" s="52"/>
      <c r="O5" s="83"/>
      <c r="P5" s="84"/>
      <c r="Q5" s="85"/>
      <c r="S5" s="77"/>
      <c r="T5" s="78"/>
      <c r="U5" s="79"/>
      <c r="W5" s="83"/>
      <c r="X5" s="84"/>
      <c r="Y5" s="85"/>
      <c r="AA5" s="77"/>
      <c r="AB5" s="78"/>
      <c r="AC5" s="79"/>
    </row>
    <row r="6" spans="2:29" x14ac:dyDescent="0.2">
      <c r="B6" t="s">
        <v>40</v>
      </c>
      <c r="K6" s="53">
        <v>1</v>
      </c>
      <c r="L6" s="53" t="str">
        <f>B15&amp;","&amp;B17</f>
        <v>Version,Cursor</v>
      </c>
      <c r="M6" s="53">
        <v>2.5</v>
      </c>
      <c r="N6" s="51"/>
      <c r="O6" s="54">
        <v>2</v>
      </c>
      <c r="P6" s="54" t="str">
        <f>B14</f>
        <v>Select</v>
      </c>
      <c r="Q6" s="54">
        <v>1</v>
      </c>
      <c r="S6" s="53">
        <v>6</v>
      </c>
      <c r="T6" s="53" t="str">
        <f>B23</f>
        <v>Order</v>
      </c>
      <c r="U6" s="53">
        <v>1</v>
      </c>
      <c r="W6" s="54">
        <v>7</v>
      </c>
      <c r="X6" s="54" t="str">
        <f>B16&amp;","&amp;B24</f>
        <v>Parse,Dbld</v>
      </c>
      <c r="Y6" s="54">
        <v>1.5</v>
      </c>
      <c r="AA6" s="53">
        <v>9</v>
      </c>
      <c r="AB6" s="53" t="str">
        <f>B14</f>
        <v>Select</v>
      </c>
      <c r="AC6" s="53">
        <v>1.5</v>
      </c>
    </row>
    <row r="7" spans="2:29" x14ac:dyDescent="0.2">
      <c r="B7" t="s">
        <v>42</v>
      </c>
      <c r="K7" s="5"/>
      <c r="L7" s="5"/>
      <c r="M7" s="5"/>
      <c r="N7" s="5"/>
      <c r="O7" s="55"/>
      <c r="P7" s="55"/>
      <c r="Q7" s="55"/>
      <c r="X7" s="5"/>
    </row>
    <row r="8" spans="2:29" x14ac:dyDescent="0.2">
      <c r="B8" t="s">
        <v>41</v>
      </c>
      <c r="K8" s="5"/>
      <c r="L8" s="5"/>
      <c r="M8" s="5"/>
      <c r="N8" s="5"/>
      <c r="O8" s="54">
        <f>M3</f>
        <v>2.5</v>
      </c>
      <c r="P8" s="54" t="str">
        <f>O8+1&amp;"-"&amp;Q8</f>
        <v>3,5-4</v>
      </c>
      <c r="Q8" s="54">
        <f>O8+Q11</f>
        <v>4</v>
      </c>
      <c r="W8" s="53">
        <f>U3</f>
        <v>6</v>
      </c>
      <c r="X8" s="53" t="str">
        <f>W8+1&amp;"-"&amp;Y8</f>
        <v>7-8</v>
      </c>
      <c r="Y8" s="53">
        <f>W8+Y11</f>
        <v>8</v>
      </c>
    </row>
    <row r="9" spans="2:29" x14ac:dyDescent="0.2">
      <c r="K9" s="5"/>
      <c r="L9" s="5"/>
      <c r="M9" s="5"/>
      <c r="N9" s="5"/>
      <c r="O9" s="80" t="s">
        <v>135</v>
      </c>
      <c r="P9" s="81"/>
      <c r="Q9" s="82"/>
      <c r="W9" s="74" t="s">
        <v>138</v>
      </c>
      <c r="X9" s="75"/>
      <c r="Y9" s="76"/>
    </row>
    <row r="10" spans="2:29" x14ac:dyDescent="0.2">
      <c r="B10" s="86" t="s">
        <v>30</v>
      </c>
      <c r="C10" s="86"/>
      <c r="D10" s="86"/>
      <c r="E10" s="86"/>
      <c r="F10" s="86"/>
      <c r="G10" s="86"/>
      <c r="H10" s="86"/>
      <c r="I10" s="86"/>
      <c r="O10" s="83"/>
      <c r="P10" s="84"/>
      <c r="Q10" s="85"/>
      <c r="W10" s="77"/>
      <c r="X10" s="78"/>
      <c r="Y10" s="79"/>
    </row>
    <row r="11" spans="2:29" x14ac:dyDescent="0.2">
      <c r="O11" s="54">
        <v>3</v>
      </c>
      <c r="P11" s="54" t="str">
        <f>B21&amp;","&amp;B20</f>
        <v>Where,From</v>
      </c>
      <c r="Q11" s="54">
        <v>1.5</v>
      </c>
      <c r="W11" s="53">
        <v>8</v>
      </c>
      <c r="X11" s="53" t="str">
        <f>B19&amp;","&amp;B23</f>
        <v>Choose,Order</v>
      </c>
      <c r="Y11" s="53">
        <v>2</v>
      </c>
    </row>
    <row r="12" spans="2:29" x14ac:dyDescent="0.2">
      <c r="X12" s="5"/>
    </row>
    <row r="13" spans="2:29" x14ac:dyDescent="0.2">
      <c r="B13" s="48" t="s">
        <v>120</v>
      </c>
      <c r="C13" s="48" t="s">
        <v>133</v>
      </c>
      <c r="E13" s="73" t="s">
        <v>151</v>
      </c>
      <c r="F13" s="73"/>
      <c r="G13" s="73"/>
      <c r="H13" s="73"/>
      <c r="I13" s="58" t="s">
        <v>158</v>
      </c>
      <c r="O13" s="53">
        <f>M3</f>
        <v>2.5</v>
      </c>
      <c r="P13" s="53" t="str">
        <f>O13+1&amp;"-"&amp;Q13</f>
        <v>3,5-5</v>
      </c>
      <c r="Q13" s="53">
        <f>O13+Q16</f>
        <v>5</v>
      </c>
      <c r="X13" s="5"/>
    </row>
    <row r="14" spans="2:29" x14ac:dyDescent="0.2">
      <c r="B14" s="37" t="s">
        <v>121</v>
      </c>
      <c r="C14" s="50">
        <f>640/8</f>
        <v>80</v>
      </c>
      <c r="E14" s="73" t="s">
        <v>150</v>
      </c>
      <c r="F14" s="73"/>
      <c r="G14" s="73"/>
      <c r="H14" s="73"/>
      <c r="I14" s="56">
        <v>45975</v>
      </c>
      <c r="O14" s="74" t="s">
        <v>136</v>
      </c>
      <c r="P14" s="75"/>
      <c r="Q14" s="76"/>
      <c r="X14" s="5"/>
    </row>
    <row r="15" spans="2:29" x14ac:dyDescent="0.2">
      <c r="B15" s="37" t="s">
        <v>122</v>
      </c>
      <c r="C15" s="50">
        <f>75</f>
        <v>75</v>
      </c>
      <c r="E15" s="73"/>
      <c r="F15" s="73"/>
      <c r="G15" s="73"/>
      <c r="H15" s="73"/>
      <c r="I15" s="57" t="s">
        <v>147</v>
      </c>
      <c r="O15" s="77"/>
      <c r="P15" s="78"/>
      <c r="Q15" s="79"/>
      <c r="X15" s="5"/>
    </row>
    <row r="16" spans="2:29" ht="15" thickBot="1" x14ac:dyDescent="0.25">
      <c r="B16" s="37" t="s">
        <v>123</v>
      </c>
      <c r="C16" s="50">
        <f>40</f>
        <v>40</v>
      </c>
      <c r="E16" s="5"/>
      <c r="F16" s="5"/>
      <c r="O16" s="53">
        <v>4</v>
      </c>
      <c r="P16" s="53" t="str">
        <f>B16&amp;","&amp;B25</f>
        <v>Parse,UserId</v>
      </c>
      <c r="Q16" s="53">
        <v>2.5</v>
      </c>
      <c r="X16" s="5"/>
    </row>
    <row r="17" spans="2:31" ht="15" thickBot="1" x14ac:dyDescent="0.25">
      <c r="B17" s="37" t="s">
        <v>124</v>
      </c>
      <c r="C17" s="50">
        <f>12000/15/8</f>
        <v>100</v>
      </c>
      <c r="E17" s="92" t="s">
        <v>70</v>
      </c>
      <c r="F17" s="93"/>
      <c r="G17" s="93"/>
      <c r="H17" s="93"/>
      <c r="I17" s="94"/>
      <c r="X17" s="5"/>
    </row>
    <row r="18" spans="2:31" ht="15" thickBot="1" x14ac:dyDescent="0.25">
      <c r="B18" s="37" t="s">
        <v>125</v>
      </c>
      <c r="C18" s="50">
        <f>50</f>
        <v>50</v>
      </c>
      <c r="E18" s="38" t="s">
        <v>64</v>
      </c>
      <c r="F18" s="39" t="s">
        <v>65</v>
      </c>
      <c r="G18" s="39" t="s">
        <v>149</v>
      </c>
      <c r="H18" s="39" t="s">
        <v>148</v>
      </c>
      <c r="I18" s="40" t="s">
        <v>67</v>
      </c>
      <c r="O18" s="54">
        <f>M3</f>
        <v>2.5</v>
      </c>
      <c r="P18" s="54" t="str">
        <f>O18+1&amp;"-"&amp;Q18</f>
        <v>3,5-4,5</v>
      </c>
      <c r="Q18" s="54">
        <f>O18+Q21</f>
        <v>4.5</v>
      </c>
      <c r="X18" s="5"/>
    </row>
    <row r="19" spans="2:31" x14ac:dyDescent="0.2">
      <c r="B19" s="37" t="s">
        <v>126</v>
      </c>
      <c r="C19" s="50">
        <f>8400/30/8</f>
        <v>35</v>
      </c>
      <c r="E19" s="28">
        <v>1</v>
      </c>
      <c r="F19" s="13" t="str">
        <f>L6</f>
        <v>Version,Cursor</v>
      </c>
      <c r="G19" s="60">
        <f>(C15*M6*8)+(C17*M6*8)</f>
        <v>3500</v>
      </c>
      <c r="H19" s="60">
        <v>1000</v>
      </c>
      <c r="I19" s="62">
        <f>G19+H19</f>
        <v>4500</v>
      </c>
      <c r="O19" s="80" t="s">
        <v>137</v>
      </c>
      <c r="P19" s="81"/>
      <c r="Q19" s="82"/>
      <c r="X19" s="5"/>
    </row>
    <row r="20" spans="2:31" x14ac:dyDescent="0.2">
      <c r="B20" s="37" t="s">
        <v>127</v>
      </c>
      <c r="C20" s="50">
        <f>480/8</f>
        <v>60</v>
      </c>
      <c r="E20" s="30">
        <v>2</v>
      </c>
      <c r="F20" s="37" t="str">
        <f>P6</f>
        <v>Select</v>
      </c>
      <c r="G20" s="50">
        <f>C14*Q6*8</f>
        <v>640</v>
      </c>
      <c r="H20" s="50">
        <v>0</v>
      </c>
      <c r="I20" s="62">
        <f t="shared" ref="I20:I27" si="0">G20+H20</f>
        <v>640</v>
      </c>
      <c r="O20" s="83"/>
      <c r="P20" s="84"/>
      <c r="Q20" s="85"/>
      <c r="X20" s="5"/>
    </row>
    <row r="21" spans="2:31" x14ac:dyDescent="0.2">
      <c r="B21" s="37" t="s">
        <v>128</v>
      </c>
      <c r="C21" s="50">
        <f>30</f>
        <v>30</v>
      </c>
      <c r="E21" s="30">
        <v>3</v>
      </c>
      <c r="F21" s="37" t="str">
        <f>P11</f>
        <v>Where,From</v>
      </c>
      <c r="G21" s="50">
        <f>(C21*Q11*8)+(C20*Q11*8)</f>
        <v>1080</v>
      </c>
      <c r="H21" s="50">
        <v>0</v>
      </c>
      <c r="I21" s="62">
        <f t="shared" si="0"/>
        <v>1080</v>
      </c>
      <c r="O21" s="54">
        <v>5</v>
      </c>
      <c r="P21" s="54" t="str">
        <f>B19&amp;","&amp;B22</f>
        <v>Choose,Use</v>
      </c>
      <c r="Q21" s="54">
        <v>2</v>
      </c>
      <c r="X21" s="5"/>
    </row>
    <row r="22" spans="2:31" x14ac:dyDescent="0.2">
      <c r="B22" s="37" t="s">
        <v>129</v>
      </c>
      <c r="C22" s="50">
        <f>85</f>
        <v>85</v>
      </c>
      <c r="E22" s="30">
        <v>4</v>
      </c>
      <c r="F22" s="37" t="str">
        <f>P16</f>
        <v>Parse,UserId</v>
      </c>
      <c r="G22" s="50">
        <f>(C16*Q16*8)+(C25*Q16*8)</f>
        <v>1300</v>
      </c>
      <c r="H22" s="50">
        <v>2500</v>
      </c>
      <c r="I22" s="62">
        <f t="shared" si="0"/>
        <v>3800</v>
      </c>
    </row>
    <row r="23" spans="2:31" x14ac:dyDescent="0.2">
      <c r="B23" s="37" t="s">
        <v>130</v>
      </c>
      <c r="C23" s="50">
        <f>6720/7/8</f>
        <v>120</v>
      </c>
      <c r="E23" s="30">
        <v>5</v>
      </c>
      <c r="F23" s="37" t="str">
        <f>P21</f>
        <v>Choose,Use</v>
      </c>
      <c r="G23" s="50">
        <f>(C19*Q21*8)+(C22*Q21*8)</f>
        <v>1920</v>
      </c>
      <c r="H23" s="50">
        <v>650</v>
      </c>
      <c r="I23" s="62">
        <f t="shared" si="0"/>
        <v>2570</v>
      </c>
    </row>
    <row r="24" spans="2:31" x14ac:dyDescent="0.2">
      <c r="B24" s="37" t="s">
        <v>131</v>
      </c>
      <c r="C24" s="50">
        <f>100</f>
        <v>100</v>
      </c>
      <c r="E24" s="30">
        <v>6</v>
      </c>
      <c r="F24" s="37" t="str">
        <f>T6</f>
        <v>Order</v>
      </c>
      <c r="G24" s="50">
        <f>C23*U6*8</f>
        <v>960</v>
      </c>
      <c r="H24" s="50">
        <v>1780</v>
      </c>
      <c r="I24" s="62">
        <f t="shared" si="0"/>
        <v>2740</v>
      </c>
      <c r="O24" s="42" t="s">
        <v>160</v>
      </c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</row>
    <row r="25" spans="2:31" x14ac:dyDescent="0.2">
      <c r="B25" s="37" t="s">
        <v>132</v>
      </c>
      <c r="C25" s="50">
        <f>200/8</f>
        <v>25</v>
      </c>
      <c r="E25" s="30">
        <v>7</v>
      </c>
      <c r="F25" s="37" t="str">
        <f>X6</f>
        <v>Parse,Dbld</v>
      </c>
      <c r="G25" s="50">
        <f>(C16*Y6*8)+(C24*Y6*8)</f>
        <v>1680</v>
      </c>
      <c r="H25" s="50">
        <v>0</v>
      </c>
      <c r="I25" s="62">
        <f t="shared" si="0"/>
        <v>1680</v>
      </c>
      <c r="O25" s="42" t="s">
        <v>159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</row>
    <row r="26" spans="2:31" x14ac:dyDescent="0.2">
      <c r="E26" s="30">
        <v>8</v>
      </c>
      <c r="F26" s="37" t="str">
        <f>X11</f>
        <v>Choose,Order</v>
      </c>
      <c r="G26" s="50">
        <f>(C19*Y11*8)+(C23*Y11*8)</f>
        <v>2480</v>
      </c>
      <c r="H26" s="50">
        <v>3000</v>
      </c>
      <c r="I26" s="62">
        <f t="shared" si="0"/>
        <v>5480</v>
      </c>
    </row>
    <row r="27" spans="2:31" ht="15" thickBot="1" x14ac:dyDescent="0.25">
      <c r="E27" s="41">
        <v>9</v>
      </c>
      <c r="F27" s="12" t="str">
        <f>AB6</f>
        <v>Select</v>
      </c>
      <c r="G27" s="61">
        <f>(C14*AC6*8)</f>
        <v>960</v>
      </c>
      <c r="H27" s="61">
        <v>1500</v>
      </c>
      <c r="I27" s="62">
        <f t="shared" si="0"/>
        <v>2460</v>
      </c>
    </row>
    <row r="28" spans="2:31" ht="15" thickBot="1" x14ac:dyDescent="0.25">
      <c r="E28" s="71" t="s">
        <v>69</v>
      </c>
      <c r="F28" s="72"/>
      <c r="G28" s="72"/>
      <c r="H28" s="72"/>
      <c r="I28" s="63">
        <f>SUM(I19:I27)</f>
        <v>24950</v>
      </c>
    </row>
  </sheetData>
  <mergeCells count="15">
    <mergeCell ref="O19:Q20"/>
    <mergeCell ref="E13:H13"/>
    <mergeCell ref="E14:H15"/>
    <mergeCell ref="E17:I17"/>
    <mergeCell ref="E28:H28"/>
    <mergeCell ref="W4:Y5"/>
    <mergeCell ref="AA4:AC5"/>
    <mergeCell ref="O9:Q10"/>
    <mergeCell ref="W9:Y10"/>
    <mergeCell ref="O14:Q15"/>
    <mergeCell ref="B10:I10"/>
    <mergeCell ref="B1:F1"/>
    <mergeCell ref="K4:M5"/>
    <mergeCell ref="O4:Q5"/>
    <mergeCell ref="S4:U5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24305b-3a8f-420f-955e-2e1a5a939de2" xsi:nil="true"/>
    <lcf76f155ced4ddcb4097134ff3c332f xmlns="cab57bc6-0aad-4c80-a30f-bbd4ef7a8f3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0C1ABC62A77F408CCCD3E2FA81569F" ma:contentTypeVersion="10" ma:contentTypeDescription="Crie um novo documento." ma:contentTypeScope="" ma:versionID="89bd25ee9e8d71b4e401af7ec13e9594">
  <xsd:schema xmlns:xsd="http://www.w3.org/2001/XMLSchema" xmlns:xs="http://www.w3.org/2001/XMLSchema" xmlns:p="http://schemas.microsoft.com/office/2006/metadata/properties" xmlns:ns2="cab57bc6-0aad-4c80-a30f-bbd4ef7a8f38" xmlns:ns3="4c24305b-3a8f-420f-955e-2e1a5a939de2" targetNamespace="http://schemas.microsoft.com/office/2006/metadata/properties" ma:root="true" ma:fieldsID="af06f7dba6f6fe63b1d8d2a8986e2061" ns2:_="" ns3:_="">
    <xsd:import namespace="cab57bc6-0aad-4c80-a30f-bbd4ef7a8f38"/>
    <xsd:import namespace="4c24305b-3a8f-420f-955e-2e1a5a939d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b57bc6-0aad-4c80-a30f-bbd4ef7a8f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0ef6089c-5148-4909-88ac-65974e5b7e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24305b-3a8f-420f-955e-2e1a5a939d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4350505-bc0f-4d93-8d46-0be6711c3ec0}" ma:internalName="TaxCatchAll" ma:showField="CatchAllData" ma:web="4c24305b-3a8f-420f-955e-2e1a5a939d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52BEC5-EB81-4AE6-9103-D68300835BE2}">
  <ds:schemaRefs>
    <ds:schemaRef ds:uri="http://schemas.microsoft.com/office/2006/metadata/properties"/>
    <ds:schemaRef ds:uri="http://schemas.microsoft.com/office/infopath/2007/PartnerControls"/>
    <ds:schemaRef ds:uri="4c24305b-3a8f-420f-955e-2e1a5a939de2"/>
    <ds:schemaRef ds:uri="cab57bc6-0aad-4c80-a30f-bbd4ef7a8f38"/>
  </ds:schemaRefs>
</ds:datastoreItem>
</file>

<file path=customXml/itemProps2.xml><?xml version="1.0" encoding="utf-8"?>
<ds:datastoreItem xmlns:ds="http://schemas.openxmlformats.org/officeDocument/2006/customXml" ds:itemID="{30B2216C-7B40-4E3E-B683-ACF39447B89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3F023C-5AC9-46AF-A0E7-DF6069DC5D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b57bc6-0aad-4c80-a30f-bbd4ef7a8f38"/>
    <ds:schemaRef ds:uri="4c24305b-3a8f-420f-955e-2e1a5a939d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Id</vt:lpstr>
      <vt:lpstr>Q1</vt:lpstr>
      <vt:lpstr>Q2</vt:lpstr>
      <vt:lpstr>Q3</vt:lpstr>
      <vt:lpstr>Q4</vt:lpstr>
      <vt:lpstr>Q5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Parecerista</dc:creator>
  <cp:lastModifiedBy>Felipe de Jesus</cp:lastModifiedBy>
  <dcterms:created xsi:type="dcterms:W3CDTF">2021-09-29T17:40:39Z</dcterms:created>
  <dcterms:modified xsi:type="dcterms:W3CDTF">2025-10-03T13:58:30Z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0x010100500C1ABC62A77F408CCCD3E2FA81569F</vt:lpwstr>
  </property>
</Properties>
</file>