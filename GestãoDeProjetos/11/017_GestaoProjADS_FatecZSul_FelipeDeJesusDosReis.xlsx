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11\"/>
    </mc:Choice>
  </mc:AlternateContent>
  <xr:revisionPtr revIDLastSave="0" documentId="13_ncr:1_{0937D4F6-AABF-459B-AE16-7E45CBE78451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Tarefa_Cort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L3" i="1" s="1"/>
  <c r="C19" i="1"/>
  <c r="L6" i="1" s="1"/>
  <c r="L8" i="1"/>
  <c r="F17" i="1"/>
  <c r="L4" i="1" s="1"/>
  <c r="E17" i="1"/>
  <c r="L2" i="1" s="1"/>
  <c r="E6" i="1"/>
  <c r="E5" i="1"/>
  <c r="L14" i="1" l="1"/>
  <c r="L15" i="1" s="1"/>
  <c r="L12" i="1"/>
  <c r="L11" i="1"/>
  <c r="L9" i="1"/>
  <c r="L16" i="1" l="1"/>
</calcChain>
</file>

<file path=xl/sharedStrings.xml><?xml version="1.0" encoding="utf-8"?>
<sst xmlns="http://schemas.openxmlformats.org/spreadsheetml/2006/main" count="26" uniqueCount="19">
  <si>
    <t>VP</t>
  </si>
  <si>
    <t>% VA</t>
  </si>
  <si>
    <t>VA</t>
  </si>
  <si>
    <t>CR</t>
  </si>
  <si>
    <t>Tarefa</t>
  </si>
  <si>
    <t>1 a 10</t>
  </si>
  <si>
    <t>Soma no PI</t>
  </si>
  <si>
    <t>ONT</t>
  </si>
  <si>
    <t>VC</t>
  </si>
  <si>
    <t>IDC</t>
  </si>
  <si>
    <t>VPR</t>
  </si>
  <si>
    <t>IDP</t>
  </si>
  <si>
    <t>ENT</t>
  </si>
  <si>
    <t>EPT</t>
  </si>
  <si>
    <t>VNT</t>
  </si>
  <si>
    <t>Situação:</t>
  </si>
  <si>
    <t>O ponto de inspeção está ao final da T11.</t>
  </si>
  <si>
    <t>13 por diante</t>
  </si>
  <si>
    <t>O projeto está gastando menos e está adiantado até o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</si>
</sst>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%"/>
    <numFmt numFmtId="165" formatCode="_-&quot;R$&quot;\ * #,##0.00_-;\-&quot;R$&quot;\ * #,##0.00_-;_-&quot;R$&quot;\ * &quot;-&quot;???_-;_-@_-"/>
    <numFmt numFmtId="166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/>
    <xf numFmtId="44" fontId="2" fillId="0" borderId="0" xfId="1" applyFont="1"/>
    <xf numFmtId="164" fontId="2" fillId="0" borderId="0" xfId="2" applyNumberFormat="1" applyFont="1"/>
    <xf numFmtId="44" fontId="2" fillId="0" borderId="0" xfId="0" applyNumberFormat="1" applyFont="1"/>
    <xf numFmtId="44" fontId="2" fillId="2" borderId="0" xfId="1" applyFont="1" applyFill="1"/>
    <xf numFmtId="44" fontId="2" fillId="2" borderId="0" xfId="0" applyNumberFormat="1" applyFont="1" applyFill="1"/>
    <xf numFmtId="0" fontId="2" fillId="3" borderId="0" xfId="0" applyFont="1" applyFill="1"/>
    <xf numFmtId="44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2" borderId="0" xfId="0" applyNumberFormat="1" applyFont="1" applyFill="1"/>
    <xf numFmtId="9" fontId="2" fillId="2" borderId="0" xfId="0" applyNumberFormat="1" applyFont="1" applyFill="1"/>
    <xf numFmtId="44" fontId="2" fillId="4" borderId="0" xfId="1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center"/>
    </xf>
    <xf numFmtId="166" fontId="2" fillId="2" borderId="0" xfId="1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3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435766</xdr:colOff>
      <xdr:row>0</xdr:row>
      <xdr:rowOff>0</xdr:rowOff>
    </xdr:from>
    <xdr:to>
      <xdr:col>17</xdr:col>
      <xdr:colOff>212989</xdr:colOff>
      <xdr:row>16</xdr:row>
      <xdr:rowOff>153829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1B3BC8-A7A2-1CE5-CA77-567CDBA8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079" y="0"/>
          <a:ext cx="2753785" cy="3011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194735</xdr:colOff>
      <xdr:row>21</xdr:row>
      <xdr:rowOff>59268</xdr:rowOff>
    </xdr:from>
    <xdr:to>
      <xdr:col>6</xdr:col>
      <xdr:colOff>80169</xdr:colOff>
      <xdr:row>29</xdr:row>
      <xdr:rowOff>67734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93A2625-9DC2-FA62-CF10-ED373546E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5" y="3793068"/>
          <a:ext cx="4842932" cy="1430866"/>
        </a:xfrm>
        <a:prstGeom prst="rect">
          <a:avLst/>
        </a:prstGeom>
      </xdr:spPr>
    </xdr:pic>
    <xdr:clientData/>
  </xdr:twoCellAnchor>
  <xdr:twoCellAnchor editAs="oneCell">
    <xdr:from>
      <xdr:col>6</xdr:col>
      <xdr:colOff>499534</xdr:colOff>
      <xdr:row>19</xdr:row>
      <xdr:rowOff>76202</xdr:rowOff>
    </xdr:from>
    <xdr:to>
      <xdr:col>17</xdr:col>
      <xdr:colOff>361233</xdr:colOff>
      <xdr:row>25</xdr:row>
      <xdr:rowOff>152501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35C6B97-4CEB-F117-671A-1767AAF34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534" y="3454402"/>
          <a:ext cx="7590178" cy="1143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tabSelected="1" zoomScale="80" zoomScaleNormal="80" workbookViewId="0">
      <selection activeCell="F20" sqref="F20"/>
    </sheetView>
  </sheetViews>
  <sheetFormatPr defaultColWidth="8.85546875" defaultRowHeight="14.25" x14ac:dyDescent="0.2"/>
  <cols>
    <col min="1" max="1" width="3.28515625" style="1" customWidth="1"/>
    <col min="2" max="2" width="14.5703125" style="1" customWidth="1"/>
    <col min="3" max="3" width="17.28515625" style="1" customWidth="1"/>
    <col min="4" max="4" width="7" style="1" bestFit="1" customWidth="1"/>
    <col min="5" max="5" width="16.7109375" style="1" bestFit="1" customWidth="1"/>
    <col min="6" max="6" width="16.7109375" style="1" customWidth="1"/>
    <col min="7" max="7" width="15.42578125" style="1" bestFit="1" customWidth="1"/>
    <col min="8" max="9" width="8.85546875" style="1"/>
    <col min="10" max="10" width="3.85546875" style="1" customWidth="1"/>
    <col min="11" max="11" width="10.28515625" style="2" bestFit="1" customWidth="1"/>
    <col min="12" max="12" width="20.7109375" style="1" bestFit="1" customWidth="1"/>
    <col min="13" max="16384" width="8.85546875" style="1"/>
  </cols>
  <sheetData>
    <row r="2" spans="2:12" x14ac:dyDescent="0.2">
      <c r="B2" s="2" t="s">
        <v>4</v>
      </c>
      <c r="C2" s="2" t="s">
        <v>0</v>
      </c>
      <c r="D2" s="2" t="s">
        <v>1</v>
      </c>
      <c r="E2" s="2" t="s">
        <v>2</v>
      </c>
      <c r="F2" s="2" t="s">
        <v>3</v>
      </c>
      <c r="K2" s="2" t="s">
        <v>2</v>
      </c>
      <c r="L2" s="8">
        <f>E17</f>
        <v>74700</v>
      </c>
    </row>
    <row r="3" spans="2:12" x14ac:dyDescent="0.2">
      <c r="B3" s="2" t="s">
        <v>5</v>
      </c>
      <c r="C3" s="7">
        <v>59500</v>
      </c>
      <c r="D3" s="13">
        <v>1</v>
      </c>
      <c r="E3" s="4">
        <v>59500</v>
      </c>
      <c r="F3" s="7">
        <v>55000</v>
      </c>
      <c r="G3" s="6"/>
      <c r="K3" s="2" t="s">
        <v>0</v>
      </c>
      <c r="L3" s="8">
        <f>C17</f>
        <v>65500</v>
      </c>
    </row>
    <row r="4" spans="2:12" x14ac:dyDescent="0.2">
      <c r="B4" s="2">
        <v>11</v>
      </c>
      <c r="C4" s="7">
        <v>6000</v>
      </c>
      <c r="D4" s="13">
        <v>1</v>
      </c>
      <c r="E4" s="7">
        <v>6000</v>
      </c>
      <c r="F4" s="7">
        <v>5000</v>
      </c>
      <c r="G4" s="6"/>
      <c r="K4" s="2" t="s">
        <v>3</v>
      </c>
      <c r="L4" s="8">
        <f>F17</f>
        <v>70000</v>
      </c>
    </row>
    <row r="5" spans="2:12" x14ac:dyDescent="0.2">
      <c r="B5" s="2">
        <v>12</v>
      </c>
      <c r="C5" s="7">
        <v>11500</v>
      </c>
      <c r="D5" s="13">
        <v>0.8</v>
      </c>
      <c r="E5" s="7">
        <f>C5*D5</f>
        <v>9200</v>
      </c>
      <c r="F5" s="4">
        <v>10000</v>
      </c>
      <c r="G5" s="6"/>
    </row>
    <row r="6" spans="2:12" x14ac:dyDescent="0.2">
      <c r="B6" s="2" t="s">
        <v>17</v>
      </c>
      <c r="C6" s="4">
        <v>90000</v>
      </c>
      <c r="D6" s="3">
        <v>0</v>
      </c>
      <c r="E6" s="14">
        <f>C6*D6</f>
        <v>0</v>
      </c>
      <c r="F6" s="4">
        <v>0</v>
      </c>
      <c r="G6" s="6"/>
      <c r="K6" s="2" t="s">
        <v>7</v>
      </c>
      <c r="L6" s="8">
        <f>C19</f>
        <v>167000</v>
      </c>
    </row>
    <row r="7" spans="2:12" x14ac:dyDescent="0.2">
      <c r="G7" s="6"/>
    </row>
    <row r="8" spans="2:12" x14ac:dyDescent="0.2">
      <c r="K8" s="2" t="s">
        <v>8</v>
      </c>
      <c r="L8" s="8">
        <f>L2-L4</f>
        <v>4700</v>
      </c>
    </row>
    <row r="9" spans="2:12" x14ac:dyDescent="0.2">
      <c r="K9" s="2" t="s">
        <v>9</v>
      </c>
      <c r="L9" s="12">
        <f>L2/L4</f>
        <v>1.0671428571428572</v>
      </c>
    </row>
    <row r="11" spans="2:12" x14ac:dyDescent="0.2">
      <c r="B11" s="1" t="s">
        <v>16</v>
      </c>
      <c r="K11" s="2" t="s">
        <v>10</v>
      </c>
      <c r="L11" s="8">
        <f>L2-L3</f>
        <v>9200</v>
      </c>
    </row>
    <row r="12" spans="2:12" x14ac:dyDescent="0.2">
      <c r="G12" s="5"/>
      <c r="K12" s="2" t="s">
        <v>11</v>
      </c>
      <c r="L12" s="12">
        <f>L2/L3</f>
        <v>1.1404580152671755</v>
      </c>
    </row>
    <row r="13" spans="2:12" x14ac:dyDescent="0.2">
      <c r="G13" s="6"/>
    </row>
    <row r="14" spans="2:12" x14ac:dyDescent="0.2">
      <c r="G14" s="4"/>
      <c r="K14" s="2" t="s">
        <v>12</v>
      </c>
      <c r="L14" s="15">
        <f>L6/L9</f>
        <v>156492.63721552878</v>
      </c>
    </row>
    <row r="15" spans="2:12" x14ac:dyDescent="0.2">
      <c r="K15" s="2" t="s">
        <v>13</v>
      </c>
      <c r="L15" s="15">
        <f>L14-L4</f>
        <v>86492.637215528783</v>
      </c>
    </row>
    <row r="16" spans="2:12" x14ac:dyDescent="0.2">
      <c r="C16" s="2" t="s">
        <v>0</v>
      </c>
      <c r="D16" s="2"/>
      <c r="E16" s="2" t="s">
        <v>2</v>
      </c>
      <c r="F16" s="2" t="s">
        <v>3</v>
      </c>
      <c r="K16" s="2" t="s">
        <v>14</v>
      </c>
      <c r="L16" s="17">
        <f>L6-L14</f>
        <v>10507.362784471217</v>
      </c>
    </row>
    <row r="17" spans="2:19" x14ac:dyDescent="0.2">
      <c r="B17" s="9" t="s">
        <v>6</v>
      </c>
      <c r="C17" s="10">
        <f>SUM(C3:C4)</f>
        <v>65500</v>
      </c>
      <c r="D17" s="10"/>
      <c r="E17" s="10">
        <f>SUM(E3:E6)</f>
        <v>74700</v>
      </c>
      <c r="F17" s="10">
        <f>SUM(F3:F6)</f>
        <v>70000</v>
      </c>
    </row>
    <row r="18" spans="2:19" x14ac:dyDescent="0.2">
      <c r="K18" s="11" t="s">
        <v>15</v>
      </c>
      <c r="L18" s="16" t="s">
        <v>18</v>
      </c>
      <c r="M18" s="16"/>
      <c r="N18" s="16"/>
      <c r="O18" s="16"/>
      <c r="P18" s="16"/>
      <c r="Q18" s="16"/>
      <c r="R18" s="16"/>
      <c r="S18" s="16"/>
    </row>
    <row r="19" spans="2:19" x14ac:dyDescent="0.2">
      <c r="B19" s="1" t="s">
        <v>7</v>
      </c>
      <c r="C19" s="8">
        <f>SUM(C3:C6)</f>
        <v>167000</v>
      </c>
      <c r="F19" s="5"/>
      <c r="K19" s="11"/>
    </row>
    <row r="20" spans="2:19" x14ac:dyDescent="0.2">
      <c r="K20" s="11"/>
    </row>
  </sheetData>
  <mergeCells count="1">
    <mergeCell ref="L18:S18"/>
  </mergeCells>
  <conditionalFormatting sqref="G3:G6">
    <cfRule type="cellIs" dxfId="2" priority="4" operator="lessThan">
      <formula>0</formula>
    </cfRule>
  </conditionalFormatting>
  <conditionalFormatting sqref="L8:L18">
    <cfRule type="cellIs" dxfId="1" priority="2" operator="lessThan">
      <formula>0</formula>
    </cfRule>
  </conditionalFormatting>
  <conditionalFormatting sqref="L12">
    <cfRule type="cellIs" dxfId="0" priority="1" operator="lessThan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710afa2d2fc1b631c2ca92a0cbb48f2f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069dae79ffd45ceb1d5bb0cd230c34c8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50505-bc0f-4d93-8d46-0be6711c3ec0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8B481B-5A14-44DE-BE6E-BF9850205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45D53-DD4B-4289-A62A-28EF14CB1953}">
  <ds:schemaRefs>
    <ds:schemaRef ds:uri="http://schemas.microsoft.com/office/2006/metadata/properties"/>
    <ds:schemaRef ds:uri="http://schemas.microsoft.com/office/infopath/2007/PartnerControls"/>
    <ds:schemaRef ds:uri="4c24305b-3a8f-420f-955e-2e1a5a939de2"/>
    <ds:schemaRef ds:uri="cab57bc6-0aad-4c80-a30f-bbd4ef7a8f38"/>
  </ds:schemaRefs>
</ds:datastoreItem>
</file>

<file path=customXml/itemProps3.xml><?xml version="1.0" encoding="utf-8"?>
<ds:datastoreItem xmlns:ds="http://schemas.openxmlformats.org/officeDocument/2006/customXml" ds:itemID="{57FF8D4A-4C31-4922-AF08-990A796FB0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Tarefa_Cortada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2023-05-27T14:28:06Z</dcterms:created>
  <dcterms:modified xsi:type="dcterms:W3CDTF">2025-10-24T13:23:44Z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</Properties>
</file>