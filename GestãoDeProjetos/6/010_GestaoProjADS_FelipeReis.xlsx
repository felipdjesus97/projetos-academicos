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6\"/>
    </mc:Choice>
  </mc:AlternateContent>
  <xr:revisionPtr revIDLastSave="0" documentId="13_ncr:1_{F0321EB9-A7D6-4689-AE86-23994B166588}" xr6:coauthVersionLast="47" xr6:coauthVersionMax="47" xr10:uidLastSave="{00000000-0000-0000-0000-000000000000}"/>
  <bookViews>
    <workbookView xWindow="-120" yWindow="-120" windowWidth="20640" windowHeight="11760" activeTab="3" xr2:uid="{00000000-000D-0000-FFFF-FFFF00000000}"/>
  </bookViews>
  <sheets>
    <sheet name="O que fazer" sheetId="5" r:id="rId1"/>
    <sheet name="Fragmento_Custo_DR" sheetId="1" r:id="rId2"/>
    <sheet name="Custo_Menor Custo" sheetId="2" r:id="rId3"/>
    <sheet name="Fragmento_Duração_DR" sheetId="4" r:id="rId4"/>
    <sheet name="Custo_Menor Duraçã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E6" i="2"/>
  <c r="AC18" i="1"/>
  <c r="L25" i="4"/>
  <c r="H17" i="4"/>
  <c r="G17" i="4"/>
  <c r="K5" i="4"/>
  <c r="E6" i="3"/>
  <c r="C6" i="3"/>
  <c r="C7" i="3"/>
  <c r="D6" i="3"/>
  <c r="AC18" i="4"/>
  <c r="I21" i="4"/>
  <c r="P11" i="4"/>
  <c r="O11" i="4"/>
  <c r="H11" i="4"/>
  <c r="G11" i="4"/>
  <c r="P5" i="4"/>
  <c r="O5" i="4"/>
  <c r="L5" i="4"/>
  <c r="H5" i="4"/>
  <c r="G5" i="4"/>
  <c r="D5" i="4"/>
  <c r="C5" i="4"/>
  <c r="D2" i="4"/>
  <c r="F14" i="4" s="1"/>
  <c r="P19" i="3"/>
  <c r="P17" i="3"/>
  <c r="P16" i="3"/>
  <c r="E4" i="3" s="1"/>
  <c r="P14" i="3"/>
  <c r="E7" i="3" s="1"/>
  <c r="P12" i="3"/>
  <c r="P10" i="3"/>
  <c r="E9" i="3"/>
  <c r="D9" i="3"/>
  <c r="C9" i="3"/>
  <c r="F9" i="3" s="1"/>
  <c r="H9" i="3" s="1"/>
  <c r="P8" i="3"/>
  <c r="E8" i="3"/>
  <c r="F8" i="3" s="1"/>
  <c r="H8" i="3" s="1"/>
  <c r="D8" i="3"/>
  <c r="C8" i="3"/>
  <c r="D7" i="3"/>
  <c r="P6" i="3"/>
  <c r="E5" i="3"/>
  <c r="D5" i="3"/>
  <c r="C5" i="3"/>
  <c r="D4" i="3"/>
  <c r="C4" i="3"/>
  <c r="P3" i="3"/>
  <c r="E3" i="3"/>
  <c r="D3" i="3"/>
  <c r="C3" i="3"/>
  <c r="E9" i="2"/>
  <c r="E8" i="2"/>
  <c r="E7" i="2"/>
  <c r="E5" i="2"/>
  <c r="E4" i="2"/>
  <c r="E3" i="2"/>
  <c r="P19" i="2"/>
  <c r="P17" i="2"/>
  <c r="P16" i="2"/>
  <c r="P14" i="2"/>
  <c r="P12" i="2"/>
  <c r="P10" i="2"/>
  <c r="P8" i="2"/>
  <c r="P6" i="2"/>
  <c r="P3" i="2"/>
  <c r="D9" i="2"/>
  <c r="D8" i="2"/>
  <c r="D7" i="2"/>
  <c r="D6" i="2"/>
  <c r="D5" i="2"/>
  <c r="D4" i="2"/>
  <c r="D3" i="2"/>
  <c r="C9" i="2"/>
  <c r="F9" i="2" s="1"/>
  <c r="H9" i="2" s="1"/>
  <c r="C8" i="2"/>
  <c r="F8" i="2" s="1"/>
  <c r="H8" i="2" s="1"/>
  <c r="C7" i="2"/>
  <c r="F7" i="2" s="1"/>
  <c r="H7" i="2" s="1"/>
  <c r="C5" i="2"/>
  <c r="F5" i="2" s="1"/>
  <c r="H5" i="2" s="1"/>
  <c r="C3" i="2"/>
  <c r="C4" i="2"/>
  <c r="F4" i="2" s="1"/>
  <c r="H4" i="2" s="1"/>
  <c r="AC33" i="4"/>
  <c r="AB33" i="4"/>
  <c r="AD33" i="4" s="1"/>
  <c r="AA33" i="4"/>
  <c r="AC32" i="4"/>
  <c r="AB32" i="4"/>
  <c r="AD32" i="4" s="1"/>
  <c r="AA32" i="4"/>
  <c r="AC29" i="4"/>
  <c r="AB29" i="4"/>
  <c r="AD29" i="4" s="1"/>
  <c r="AA29" i="4"/>
  <c r="AC28" i="4"/>
  <c r="AB28" i="4"/>
  <c r="AD28" i="4" s="1"/>
  <c r="AA28" i="4"/>
  <c r="AC27" i="4"/>
  <c r="AB27" i="4"/>
  <c r="AD27" i="4" s="1"/>
  <c r="AA27" i="4"/>
  <c r="AC24" i="4"/>
  <c r="AB24" i="4"/>
  <c r="AD24" i="4" s="1"/>
  <c r="AA24" i="4"/>
  <c r="AC23" i="4"/>
  <c r="AB23" i="4"/>
  <c r="AD23" i="4" s="1"/>
  <c r="AA23" i="4"/>
  <c r="AC20" i="4"/>
  <c r="AB20" i="4"/>
  <c r="AD20" i="4" s="1"/>
  <c r="AA20" i="4"/>
  <c r="AC19" i="4"/>
  <c r="AB19" i="4"/>
  <c r="AD19" i="4" s="1"/>
  <c r="AA19" i="4"/>
  <c r="AB18" i="4"/>
  <c r="AD18" i="4" s="1"/>
  <c r="AA18" i="4"/>
  <c r="AC15" i="4"/>
  <c r="AB15" i="4"/>
  <c r="AD15" i="4" s="1"/>
  <c r="AA15" i="4"/>
  <c r="AC14" i="4"/>
  <c r="AB14" i="4"/>
  <c r="AD14" i="4" s="1"/>
  <c r="AA14" i="4"/>
  <c r="AC13" i="4"/>
  <c r="AB13" i="4"/>
  <c r="AD13" i="4" s="1"/>
  <c r="AA13" i="4"/>
  <c r="AC10" i="4"/>
  <c r="AB10" i="4"/>
  <c r="AD10" i="4" s="1"/>
  <c r="AA10" i="4"/>
  <c r="AC9" i="4"/>
  <c r="AB9" i="4"/>
  <c r="AD9" i="4" s="1"/>
  <c r="AA9" i="4"/>
  <c r="AC6" i="4"/>
  <c r="AD6" i="4" s="1"/>
  <c r="AB6" i="4"/>
  <c r="AA6" i="4"/>
  <c r="AC5" i="4"/>
  <c r="AD5" i="4" s="1"/>
  <c r="AB5" i="4"/>
  <c r="AA5" i="4"/>
  <c r="AC4" i="4"/>
  <c r="AD4" i="4" s="1"/>
  <c r="AB4" i="4"/>
  <c r="AA4" i="4"/>
  <c r="AC3" i="4"/>
  <c r="AD3" i="4" s="1"/>
  <c r="AB3" i="4"/>
  <c r="AA3" i="4"/>
  <c r="F4" i="3" l="1"/>
  <c r="H4" i="3" s="1"/>
  <c r="F3" i="3"/>
  <c r="H3" i="3" s="1"/>
  <c r="F6" i="3"/>
  <c r="H6" i="3" s="1"/>
  <c r="F5" i="3"/>
  <c r="H5" i="3" s="1"/>
  <c r="H10" i="3" s="1"/>
  <c r="F7" i="3"/>
  <c r="H7" i="3" s="1"/>
  <c r="H14" i="4"/>
  <c r="J2" i="4" s="1"/>
  <c r="F2" i="4"/>
  <c r="F8" i="4"/>
  <c r="P11" i="1"/>
  <c r="O11" i="1"/>
  <c r="AD33" i="1"/>
  <c r="AC33" i="1"/>
  <c r="AB33" i="1"/>
  <c r="AA33" i="1"/>
  <c r="AC32" i="1"/>
  <c r="AB32" i="1"/>
  <c r="AA32" i="1"/>
  <c r="G2" i="1"/>
  <c r="P5" i="1"/>
  <c r="O5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L5" i="1"/>
  <c r="K5" i="1"/>
  <c r="AD24" i="1"/>
  <c r="AC24" i="1"/>
  <c r="AB24" i="1"/>
  <c r="AA24" i="1"/>
  <c r="AD23" i="1"/>
  <c r="AC23" i="1"/>
  <c r="AB23" i="1"/>
  <c r="AA23" i="1"/>
  <c r="H17" i="1"/>
  <c r="C6" i="2" s="1"/>
  <c r="F6" i="2" s="1"/>
  <c r="H6" i="2" s="1"/>
  <c r="G17" i="1"/>
  <c r="AB18" i="1"/>
  <c r="AC20" i="1"/>
  <c r="AB20" i="1"/>
  <c r="AA20" i="1"/>
  <c r="AC19" i="1"/>
  <c r="AB19" i="1"/>
  <c r="AD19" i="1" s="1"/>
  <c r="AA19" i="1"/>
  <c r="AD18" i="1"/>
  <c r="AA18" i="1"/>
  <c r="F14" i="1"/>
  <c r="G8" i="1"/>
  <c r="H11" i="1"/>
  <c r="F8" i="1"/>
  <c r="G11" i="1"/>
  <c r="AD13" i="1"/>
  <c r="AD14" i="1"/>
  <c r="AD15" i="1"/>
  <c r="AC15" i="1"/>
  <c r="AB15" i="1"/>
  <c r="AA15" i="1"/>
  <c r="AC14" i="1"/>
  <c r="AB14" i="1"/>
  <c r="AA14" i="1"/>
  <c r="AC13" i="1"/>
  <c r="AB13" i="1"/>
  <c r="AA13" i="1"/>
  <c r="G14" i="4" l="1"/>
  <c r="H8" i="4"/>
  <c r="G8" i="4" s="1"/>
  <c r="H2" i="4"/>
  <c r="G2" i="4"/>
  <c r="L2" i="4"/>
  <c r="K2" i="4" s="1"/>
  <c r="AD32" i="1"/>
  <c r="H14" i="1"/>
  <c r="AD20" i="1"/>
  <c r="H8" i="1"/>
  <c r="H2" i="1"/>
  <c r="H5" i="1"/>
  <c r="D2" i="1"/>
  <c r="G5" i="1"/>
  <c r="F2" i="1"/>
  <c r="AD10" i="1"/>
  <c r="AC10" i="1"/>
  <c r="AA10" i="1"/>
  <c r="AD9" i="1"/>
  <c r="AC9" i="1"/>
  <c r="Y19" i="4"/>
  <c r="Y17" i="4"/>
  <c r="Y16" i="4"/>
  <c r="Y14" i="4"/>
  <c r="Y12" i="4"/>
  <c r="Y10" i="4"/>
  <c r="Y8" i="4"/>
  <c r="Y6" i="4"/>
  <c r="Y3" i="4"/>
  <c r="AB9" i="1"/>
  <c r="AA9" i="1"/>
  <c r="AC6" i="1"/>
  <c r="AD6" i="1" s="1"/>
  <c r="AC5" i="1"/>
  <c r="D5" i="1" s="1"/>
  <c r="AC4" i="1"/>
  <c r="AC3" i="1"/>
  <c r="AB5" i="1"/>
  <c r="Y19" i="1"/>
  <c r="AB6" i="1" s="1"/>
  <c r="Y17" i="1"/>
  <c r="Y16" i="1"/>
  <c r="AB10" i="1" s="1"/>
  <c r="Y14" i="1"/>
  <c r="Y12" i="1"/>
  <c r="Y10" i="1"/>
  <c r="AB4" i="1" s="1"/>
  <c r="AD4" i="1" s="1"/>
  <c r="Y8" i="1"/>
  <c r="Y6" i="1"/>
  <c r="Y3" i="1"/>
  <c r="AB3" i="1" s="1"/>
  <c r="AA6" i="1"/>
  <c r="AA5" i="1"/>
  <c r="AA4" i="1"/>
  <c r="AA3" i="1"/>
  <c r="G14" i="1" l="1"/>
  <c r="J2" i="1"/>
  <c r="N2" i="4"/>
  <c r="N8" i="4"/>
  <c r="AD3" i="1"/>
  <c r="AD5" i="1"/>
  <c r="F3" i="2"/>
  <c r="H3" i="2" s="1"/>
  <c r="H10" i="2" s="1"/>
  <c r="C5" i="1"/>
  <c r="L2" i="1" l="1"/>
  <c r="P8" i="4"/>
  <c r="O8" i="4" s="1"/>
  <c r="P2" i="4"/>
  <c r="O2" i="4" s="1"/>
  <c r="N2" i="1" l="1"/>
  <c r="N8" i="1"/>
  <c r="K2" i="1"/>
  <c r="L23" i="4"/>
  <c r="P8" i="1" l="1"/>
  <c r="P2" i="1"/>
  <c r="O2" i="1" s="1"/>
  <c r="L25" i="1" l="1"/>
  <c r="L23" i="1"/>
  <c r="O8" i="1"/>
</calcChain>
</file>

<file path=xl/sharedStrings.xml><?xml version="1.0" encoding="utf-8"?>
<sst xmlns="http://schemas.openxmlformats.org/spreadsheetml/2006/main" count="218" uniqueCount="71">
  <si>
    <t>Descrição A</t>
  </si>
  <si>
    <t>Descrição B</t>
  </si>
  <si>
    <t>Descrição C</t>
  </si>
  <si>
    <t>Descrição D</t>
  </si>
  <si>
    <t>Descrição E</t>
  </si>
  <si>
    <t>Descrição F</t>
  </si>
  <si>
    <t>Descrição G</t>
  </si>
  <si>
    <t>Nirvana</t>
  </si>
  <si>
    <t>Queen</t>
  </si>
  <si>
    <t>Megadeth</t>
  </si>
  <si>
    <t>Recurso</t>
  </si>
  <si>
    <t>Beatles</t>
  </si>
  <si>
    <t>Foo</t>
  </si>
  <si>
    <t>Peppers</t>
  </si>
  <si>
    <t>Guns</t>
  </si>
  <si>
    <t>Sabbath</t>
  </si>
  <si>
    <t>Maiden</t>
  </si>
  <si>
    <t>Entrega em/horas</t>
  </si>
  <si>
    <t>Dia</t>
  </si>
  <si>
    <t>Dia/8</t>
  </si>
  <si>
    <t>Semana/7</t>
  </si>
  <si>
    <t>Quinzena/15</t>
  </si>
  <si>
    <t>Mês/30</t>
  </si>
  <si>
    <t>Custo RH</t>
  </si>
  <si>
    <t>Base</t>
  </si>
  <si>
    <t>Hora</t>
  </si>
  <si>
    <t>Resultado</t>
  </si>
  <si>
    <t>Mês</t>
  </si>
  <si>
    <t>Semana</t>
  </si>
  <si>
    <t>Quinzena</t>
  </si>
  <si>
    <t>Tarefa</t>
  </si>
  <si>
    <t>Duração</t>
  </si>
  <si>
    <t>RH</t>
  </si>
  <si>
    <t>Custo Tarefa</t>
  </si>
  <si>
    <t>Outros Custos</t>
  </si>
  <si>
    <t>Competente Tarefa</t>
  </si>
  <si>
    <t xml:space="preserve">Tarefas do Caminho Crítico: </t>
  </si>
  <si>
    <t>Custo/Hora</t>
  </si>
  <si>
    <t>Custo Total (Recursos)</t>
  </si>
  <si>
    <t>Custo RH T</t>
  </si>
  <si>
    <t>1. Planejar nas planilhas Fragmento_Custo (Diagrama de Rede) e Custo_Menor_Custo (Custo),</t>
  </si>
  <si>
    <t>2. Planejar nas planilhas Fragmento_Duração (Diagrama de Rede) e Custo_Menor_Duração (Custo),</t>
  </si>
  <si>
    <r>
      <t xml:space="preserve">a alocação de recursos visando o menor </t>
    </r>
    <r>
      <rPr>
        <b/>
        <u/>
        <sz val="11"/>
        <color theme="1"/>
        <rFont val="Arial Rounded MT Bold"/>
        <family val="2"/>
      </rPr>
      <t>Custo</t>
    </r>
    <r>
      <rPr>
        <sz val="11"/>
        <color theme="1"/>
        <rFont val="Arial Rounded MT Bold"/>
        <family val="2"/>
      </rPr>
      <t>, sem preocupação com o Cronograma (Duração).</t>
    </r>
  </si>
  <si>
    <r>
      <t xml:space="preserve">a alocação de recursos visando o menor </t>
    </r>
    <r>
      <rPr>
        <b/>
        <u/>
        <sz val="11"/>
        <color theme="1"/>
        <rFont val="Arial Rounded MT Bold"/>
        <family val="2"/>
      </rPr>
      <t>Cronograma (Duração)</t>
    </r>
    <r>
      <rPr>
        <sz val="11"/>
        <color theme="1"/>
        <rFont val="Arial Rounded MT Bold"/>
        <family val="2"/>
      </rPr>
      <t>, sem preocupação com o Custo.</t>
    </r>
  </si>
  <si>
    <t>4. Subir a pasta com as respostas no Portal, atendendo à DI solicitada.</t>
  </si>
  <si>
    <t>3. Apontar as Tarefas do Caminho Crítico e as Tarefas com Folga (em Custo e em Cronograma).</t>
  </si>
  <si>
    <t>Determinar o número de horas totais do Projeto.</t>
  </si>
  <si>
    <t>Determinar a data e hora do fim do Projeto tendo</t>
  </si>
  <si>
    <t>% Tarefas do caminho crítico:</t>
  </si>
  <si>
    <t>Determinar a quantidade de dias do Projeto:</t>
  </si>
  <si>
    <t>Atenção: Entregas em horas.</t>
  </si>
  <si>
    <t>como início 29/10/2025, pela manhã.</t>
  </si>
  <si>
    <t xml:space="preserve">Tarefas com Folga (horas de Folga): </t>
  </si>
  <si>
    <t>T1</t>
  </si>
  <si>
    <t>Custo &lt;</t>
  </si>
  <si>
    <t>1-1</t>
  </si>
  <si>
    <t>T2</t>
  </si>
  <si>
    <t>T3</t>
  </si>
  <si>
    <t>custo/h</t>
  </si>
  <si>
    <t>hora</t>
  </si>
  <si>
    <t>T4</t>
  </si>
  <si>
    <t>T5</t>
  </si>
  <si>
    <t>T6</t>
  </si>
  <si>
    <t>T7</t>
  </si>
  <si>
    <t>1;4;5;7</t>
  </si>
  <si>
    <t>dia</t>
  </si>
  <si>
    <t>2(3,5*);3(3,5*);6(2)</t>
  </si>
  <si>
    <t>2(1,5*);3(1,5*);6(2)</t>
  </si>
  <si>
    <t>como fim 30/10/2025, pela manhã as 10h30</t>
  </si>
  <si>
    <t>como início 06/10/2025, pela manhã.</t>
  </si>
  <si>
    <t>como fim 07/10/2025, pela manhã as 8h30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</si>
</sst>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%"/>
  </numFmts>
  <fonts count="5" x14ac:knownFonts="1">
    <font>
      <sz val="11"/>
      <color theme="1"/>
      <name val="Arial Rounded MT Bold"/>
      <family val="2"/>
    </font>
    <font>
      <sz val="11"/>
      <color theme="1"/>
      <name val="Arial Rounded MT Bold"/>
      <family val="2"/>
    </font>
    <font>
      <b/>
      <u/>
      <sz val="11"/>
      <color theme="1"/>
      <name val="Arial Rounded MT Bold"/>
      <family val="2"/>
    </font>
    <font>
      <sz val="11"/>
      <color rgb="FFFF0000"/>
      <name val="Arial Rounded MT Bold"/>
      <family val="2"/>
    </font>
    <font>
      <sz val="11"/>
      <color rgb="FF00206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44" fontId="0" fillId="0" borderId="0" xfId="1" applyFont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44" fontId="0" fillId="0" borderId="1" xfId="1" applyFont="1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2" borderId="0" xfId="1" applyFont="1" applyFill="1"/>
    <xf numFmtId="0" fontId="0" fillId="0" borderId="0" xfId="0" applyAlignment="1">
      <alignment horizontal="center"/>
    </xf>
    <xf numFmtId="0" fontId="0" fillId="0" borderId="27" xfId="0" applyFill="1" applyBorder="1" applyAlignment="1">
      <alignment horizontal="center"/>
    </xf>
    <xf numFmtId="44" fontId="0" fillId="0" borderId="0" xfId="0" applyNumberFormat="1"/>
    <xf numFmtId="44" fontId="0" fillId="2" borderId="0" xfId="0" applyNumberFormat="1" applyFill="1"/>
    <xf numFmtId="0" fontId="0" fillId="0" borderId="24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44" fontId="0" fillId="3" borderId="0" xfId="0" applyNumberFormat="1" applyFill="1"/>
    <xf numFmtId="0" fontId="0" fillId="0" borderId="0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0" fillId="3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44" fontId="0" fillId="0" borderId="24" xfId="1" applyFont="1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44" fontId="0" fillId="0" borderId="25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3" borderId="0" xfId="0" applyNumberFormat="1" applyFill="1"/>
    <xf numFmtId="2" fontId="0" fillId="0" borderId="0" xfId="0" applyNumberFormat="1"/>
    <xf numFmtId="165" fontId="0" fillId="0" borderId="0" xfId="2" applyNumberFormat="1" applyFont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190500</xdr:colOff>
      <xdr:row>3</xdr:row>
      <xdr:rowOff>19050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771650" y="552450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0</xdr:rowOff>
    </xdr:from>
    <xdr:to>
      <xdr:col>8</xdr:col>
      <xdr:colOff>257175</xdr:colOff>
      <xdr:row>3</xdr:row>
      <xdr:rowOff>19050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457575" y="552450"/>
          <a:ext cx="266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</xdr:row>
      <xdr:rowOff>171450</xdr:rowOff>
    </xdr:from>
    <xdr:to>
      <xdr:col>8</xdr:col>
      <xdr:colOff>161925</xdr:colOff>
      <xdr:row>8</xdr:row>
      <xdr:rowOff>171450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476625" y="164782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</xdr:row>
      <xdr:rowOff>171450</xdr:rowOff>
    </xdr:from>
    <xdr:to>
      <xdr:col>12</xdr:col>
      <xdr:colOff>238125</xdr:colOff>
      <xdr:row>3</xdr:row>
      <xdr:rowOff>9525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286375" y="54292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171450</xdr:rowOff>
    </xdr:from>
    <xdr:to>
      <xdr:col>5</xdr:col>
      <xdr:colOff>19050</xdr:colOff>
      <xdr:row>8</xdr:row>
      <xdr:rowOff>171450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838325" y="164782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15</xdr:row>
      <xdr:rowOff>9525</xdr:rowOff>
    </xdr:from>
    <xdr:to>
      <xdr:col>5</xdr:col>
      <xdr:colOff>0</xdr:colOff>
      <xdr:row>15</xdr:row>
      <xdr:rowOff>9525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819275" y="277177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</xdr:row>
      <xdr:rowOff>11430</xdr:rowOff>
    </xdr:from>
    <xdr:to>
      <xdr:col>8</xdr:col>
      <xdr:colOff>163830</xdr:colOff>
      <xdr:row>14</xdr:row>
      <xdr:rowOff>167640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295650" y="535305"/>
          <a:ext cx="11430" cy="2049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14</xdr:row>
      <xdr:rowOff>171450</xdr:rowOff>
    </xdr:from>
    <xdr:to>
      <xdr:col>8</xdr:col>
      <xdr:colOff>161925</xdr:colOff>
      <xdr:row>15</xdr:row>
      <xdr:rowOff>9525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3438525" y="275272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64561</xdr:colOff>
      <xdr:row>3</xdr:row>
      <xdr:rowOff>0</xdr:rowOff>
    </xdr:from>
    <xdr:to>
      <xdr:col>12</xdr:col>
      <xdr:colOff>74083</xdr:colOff>
      <xdr:row>8</xdr:row>
      <xdr:rowOff>158750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922311" y="560917"/>
          <a:ext cx="9522" cy="107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</xdr:row>
      <xdr:rowOff>161925</xdr:rowOff>
    </xdr:from>
    <xdr:to>
      <xdr:col>13</xdr:col>
      <xdr:colOff>0</xdr:colOff>
      <xdr:row>8</xdr:row>
      <xdr:rowOff>171450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5305425" y="1638300"/>
          <a:ext cx="152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</xdr:row>
      <xdr:rowOff>0</xdr:rowOff>
    </xdr:from>
    <xdr:to>
      <xdr:col>16</xdr:col>
      <xdr:colOff>285750</xdr:colOff>
      <xdr:row>3</xdr:row>
      <xdr:rowOff>19050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972300" y="552450"/>
          <a:ext cx="266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89960</xdr:colOff>
      <xdr:row>3</xdr:row>
      <xdr:rowOff>14817</xdr:rowOff>
    </xdr:from>
    <xdr:to>
      <xdr:col>16</xdr:col>
      <xdr:colOff>99482</xdr:colOff>
      <xdr:row>8</xdr:row>
      <xdr:rowOff>173567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6662210" y="575734"/>
          <a:ext cx="9522" cy="107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394763</xdr:colOff>
      <xdr:row>8</xdr:row>
      <xdr:rowOff>156633</xdr:rowOff>
    </xdr:from>
    <xdr:to>
      <xdr:col>16</xdr:col>
      <xdr:colOff>127005</xdr:colOff>
      <xdr:row>8</xdr:row>
      <xdr:rowOff>166158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543680" y="1638300"/>
          <a:ext cx="1555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</xdr:colOff>
      <xdr:row>3</xdr:row>
      <xdr:rowOff>27146</xdr:rowOff>
    </xdr:from>
    <xdr:to>
      <xdr:col>4</xdr:col>
      <xdr:colOff>52387</xdr:colOff>
      <xdr:row>15</xdr:row>
      <xdr:rowOff>4762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44E42E0-140E-44F2-8D4C-84A3C7954988}"/>
            </a:ext>
          </a:extLst>
        </xdr:cNvPr>
        <xdr:cNvCxnSpPr/>
      </xdr:nvCxnSpPr>
      <xdr:spPr>
        <a:xfrm flipH="1">
          <a:off x="1593056" y="551021"/>
          <a:ext cx="19050" cy="2049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190500</xdr:colOff>
      <xdr:row>3</xdr:row>
      <xdr:rowOff>19050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600200" y="56197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0</xdr:rowOff>
    </xdr:from>
    <xdr:to>
      <xdr:col>8</xdr:col>
      <xdr:colOff>257175</xdr:colOff>
      <xdr:row>3</xdr:row>
      <xdr:rowOff>19050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3209925" y="561975"/>
          <a:ext cx="2286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</xdr:row>
      <xdr:rowOff>171450</xdr:rowOff>
    </xdr:from>
    <xdr:to>
      <xdr:col>8</xdr:col>
      <xdr:colOff>161925</xdr:colOff>
      <xdr:row>8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32289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</xdr:row>
      <xdr:rowOff>171450</xdr:rowOff>
    </xdr:from>
    <xdr:to>
      <xdr:col>12</xdr:col>
      <xdr:colOff>238125</xdr:colOff>
      <xdr:row>3</xdr:row>
      <xdr:rowOff>9525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4905375" y="552450"/>
          <a:ext cx="1714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171450</xdr:rowOff>
    </xdr:from>
    <xdr:to>
      <xdr:col>5</xdr:col>
      <xdr:colOff>19050</xdr:colOff>
      <xdr:row>8</xdr:row>
      <xdr:rowOff>171450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6668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15</xdr:row>
      <xdr:rowOff>9525</xdr:rowOff>
    </xdr:from>
    <xdr:to>
      <xdr:col>5</xdr:col>
      <xdr:colOff>0</xdr:colOff>
      <xdr:row>15</xdr:row>
      <xdr:rowOff>9525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1647825" y="2800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3</xdr:row>
      <xdr:rowOff>9525</xdr:rowOff>
    </xdr:from>
    <xdr:to>
      <xdr:col>4</xdr:col>
      <xdr:colOff>57150</xdr:colOff>
      <xdr:row>15</xdr:row>
      <xdr:rowOff>9525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647825" y="571500"/>
          <a:ext cx="9525" cy="222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</xdr:row>
      <xdr:rowOff>9525</xdr:rowOff>
    </xdr:from>
    <xdr:to>
      <xdr:col>8</xdr:col>
      <xdr:colOff>161925</xdr:colOff>
      <xdr:row>14</xdr:row>
      <xdr:rowOff>171450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3371850" y="571500"/>
          <a:ext cx="9525" cy="2200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14</xdr:row>
      <xdr:rowOff>171450</xdr:rowOff>
    </xdr:from>
    <xdr:to>
      <xdr:col>8</xdr:col>
      <xdr:colOff>161925</xdr:colOff>
      <xdr:row>15</xdr:row>
      <xdr:rowOff>9525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3190875" y="2771775"/>
          <a:ext cx="1905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64561</xdr:colOff>
      <xdr:row>3</xdr:row>
      <xdr:rowOff>0</xdr:rowOff>
    </xdr:from>
    <xdr:to>
      <xdr:col>12</xdr:col>
      <xdr:colOff>74083</xdr:colOff>
      <xdr:row>8</xdr:row>
      <xdr:rowOff>158750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922311" y="561975"/>
          <a:ext cx="9522" cy="1082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</xdr:row>
      <xdr:rowOff>161925</xdr:rowOff>
    </xdr:from>
    <xdr:to>
      <xdr:col>13</xdr:col>
      <xdr:colOff>0</xdr:colOff>
      <xdr:row>8</xdr:row>
      <xdr:rowOff>171450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4924425" y="1647825"/>
          <a:ext cx="152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</xdr:row>
      <xdr:rowOff>0</xdr:rowOff>
    </xdr:from>
    <xdr:to>
      <xdr:col>16</xdr:col>
      <xdr:colOff>285750</xdr:colOff>
      <xdr:row>3</xdr:row>
      <xdr:rowOff>19050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6581775" y="561975"/>
          <a:ext cx="1619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89960</xdr:colOff>
      <xdr:row>3</xdr:row>
      <xdr:rowOff>14817</xdr:rowOff>
    </xdr:from>
    <xdr:to>
      <xdr:col>16</xdr:col>
      <xdr:colOff>99482</xdr:colOff>
      <xdr:row>8</xdr:row>
      <xdr:rowOff>173567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6652685" y="576792"/>
          <a:ext cx="9522" cy="1082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394763</xdr:colOff>
      <xdr:row>8</xdr:row>
      <xdr:rowOff>156633</xdr:rowOff>
    </xdr:from>
    <xdr:to>
      <xdr:col>16</xdr:col>
      <xdr:colOff>127005</xdr:colOff>
      <xdr:row>8</xdr:row>
      <xdr:rowOff>166158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6538388" y="1642533"/>
          <a:ext cx="15134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190500</xdr:colOff>
      <xdr:row>3</xdr:row>
      <xdr:rowOff>19050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80CA25E0-53C0-45AA-A84A-628D3E470089}"/>
            </a:ext>
          </a:extLst>
        </xdr:cNvPr>
        <xdr:cNvCxnSpPr/>
      </xdr:nvCxnSpPr>
      <xdr:spPr>
        <a:xfrm>
          <a:off x="1600200" y="56197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0</xdr:rowOff>
    </xdr:from>
    <xdr:to>
      <xdr:col>9</xdr:col>
      <xdr:colOff>3175</xdr:colOff>
      <xdr:row>3</xdr:row>
      <xdr:rowOff>19050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E7B923E0-4D2E-41C6-A20C-DE5E7D8CF7FF}"/>
            </a:ext>
          </a:extLst>
        </xdr:cNvPr>
        <xdr:cNvCxnSpPr/>
      </xdr:nvCxnSpPr>
      <xdr:spPr>
        <a:xfrm>
          <a:off x="3209925" y="561975"/>
          <a:ext cx="2286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</xdr:row>
      <xdr:rowOff>171450</xdr:rowOff>
    </xdr:from>
    <xdr:to>
      <xdr:col>8</xdr:col>
      <xdr:colOff>161925</xdr:colOff>
      <xdr:row>8</xdr:row>
      <xdr:rowOff>171450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B5687B5B-705F-4A51-B0FF-A4173EE0CF52}"/>
            </a:ext>
          </a:extLst>
        </xdr:cNvPr>
        <xdr:cNvCxnSpPr/>
      </xdr:nvCxnSpPr>
      <xdr:spPr>
        <a:xfrm>
          <a:off x="32289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</xdr:row>
      <xdr:rowOff>171450</xdr:rowOff>
    </xdr:from>
    <xdr:to>
      <xdr:col>13</xdr:col>
      <xdr:colOff>3175</xdr:colOff>
      <xdr:row>3</xdr:row>
      <xdr:rowOff>9525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134F64D7-CD39-4DFD-9521-71F33EAE39D9}"/>
            </a:ext>
          </a:extLst>
        </xdr:cNvPr>
        <xdr:cNvCxnSpPr/>
      </xdr:nvCxnSpPr>
      <xdr:spPr>
        <a:xfrm>
          <a:off x="4905375" y="552450"/>
          <a:ext cx="1714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171450</xdr:rowOff>
    </xdr:from>
    <xdr:to>
      <xdr:col>5</xdr:col>
      <xdr:colOff>19050</xdr:colOff>
      <xdr:row>8</xdr:row>
      <xdr:rowOff>171450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96AE8E47-B16A-427D-BEAD-9560ADB2E510}"/>
            </a:ext>
          </a:extLst>
        </xdr:cNvPr>
        <xdr:cNvCxnSpPr/>
      </xdr:nvCxnSpPr>
      <xdr:spPr>
        <a:xfrm>
          <a:off x="16668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15</xdr:row>
      <xdr:rowOff>9525</xdr:rowOff>
    </xdr:from>
    <xdr:to>
      <xdr:col>5</xdr:col>
      <xdr:colOff>0</xdr:colOff>
      <xdr:row>15</xdr:row>
      <xdr:rowOff>9525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67081334-1243-4544-A30B-AB0969178F56}"/>
            </a:ext>
          </a:extLst>
        </xdr:cNvPr>
        <xdr:cNvCxnSpPr/>
      </xdr:nvCxnSpPr>
      <xdr:spPr>
        <a:xfrm>
          <a:off x="1647825" y="2800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</xdr:row>
      <xdr:rowOff>11430</xdr:rowOff>
    </xdr:from>
    <xdr:to>
      <xdr:col>8</xdr:col>
      <xdr:colOff>163830</xdr:colOff>
      <xdr:row>14</xdr:row>
      <xdr:rowOff>167640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3BB16AA-164B-49EC-A22B-08919C7A1623}"/>
            </a:ext>
          </a:extLst>
        </xdr:cNvPr>
        <xdr:cNvCxnSpPr/>
      </xdr:nvCxnSpPr>
      <xdr:spPr>
        <a:xfrm flipH="1">
          <a:off x="3371850" y="573405"/>
          <a:ext cx="11430" cy="2194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14</xdr:row>
      <xdr:rowOff>171450</xdr:rowOff>
    </xdr:from>
    <xdr:to>
      <xdr:col>8</xdr:col>
      <xdr:colOff>161925</xdr:colOff>
      <xdr:row>15</xdr:row>
      <xdr:rowOff>9525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8929E9BF-58B9-4AB4-916E-27C1422EB84B}"/>
            </a:ext>
          </a:extLst>
        </xdr:cNvPr>
        <xdr:cNvCxnSpPr/>
      </xdr:nvCxnSpPr>
      <xdr:spPr>
        <a:xfrm>
          <a:off x="3190875" y="2771775"/>
          <a:ext cx="1905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64561</xdr:colOff>
      <xdr:row>3</xdr:row>
      <xdr:rowOff>0</xdr:rowOff>
    </xdr:from>
    <xdr:to>
      <xdr:col>12</xdr:col>
      <xdr:colOff>74083</xdr:colOff>
      <xdr:row>8</xdr:row>
      <xdr:rowOff>158750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175669BA-D829-4B74-B6C3-3FEE5BC7EA20}"/>
            </a:ext>
          </a:extLst>
        </xdr:cNvPr>
        <xdr:cNvCxnSpPr/>
      </xdr:nvCxnSpPr>
      <xdr:spPr>
        <a:xfrm>
          <a:off x="4922311" y="561975"/>
          <a:ext cx="9522" cy="1082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</xdr:row>
      <xdr:rowOff>161925</xdr:rowOff>
    </xdr:from>
    <xdr:to>
      <xdr:col>13</xdr:col>
      <xdr:colOff>0</xdr:colOff>
      <xdr:row>8</xdr:row>
      <xdr:rowOff>171450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627CDCDA-E800-4BA7-9FBD-3DABD86F350B}"/>
            </a:ext>
          </a:extLst>
        </xdr:cNvPr>
        <xdr:cNvCxnSpPr/>
      </xdr:nvCxnSpPr>
      <xdr:spPr>
        <a:xfrm>
          <a:off x="4924425" y="1647825"/>
          <a:ext cx="152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394763</xdr:colOff>
      <xdr:row>8</xdr:row>
      <xdr:rowOff>156633</xdr:rowOff>
    </xdr:from>
    <xdr:to>
      <xdr:col>16</xdr:col>
      <xdr:colOff>127005</xdr:colOff>
      <xdr:row>8</xdr:row>
      <xdr:rowOff>166158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8B0A28E3-A2C1-4AF2-9714-C8A0F3F3AB25}"/>
            </a:ext>
          </a:extLst>
        </xdr:cNvPr>
        <xdr:cNvCxnSpPr/>
      </xdr:nvCxnSpPr>
      <xdr:spPr>
        <a:xfrm>
          <a:off x="6538388" y="1642533"/>
          <a:ext cx="15134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</xdr:colOff>
      <xdr:row>3</xdr:row>
      <xdr:rowOff>27146</xdr:rowOff>
    </xdr:from>
    <xdr:to>
      <xdr:col>4</xdr:col>
      <xdr:colOff>52387</xdr:colOff>
      <xdr:row>15</xdr:row>
      <xdr:rowOff>4762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8D9B7607-8C74-4396-9EB4-FB176323E528}"/>
            </a:ext>
          </a:extLst>
        </xdr:cNvPr>
        <xdr:cNvCxnSpPr/>
      </xdr:nvCxnSpPr>
      <xdr:spPr>
        <a:xfrm flipH="1">
          <a:off x="1633537" y="589121"/>
          <a:ext cx="19050" cy="2206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zoomScale="120" zoomScaleNormal="120" workbookViewId="0"/>
  </sheetViews>
  <sheetFormatPr defaultRowHeight="14.25" x14ac:dyDescent="0.2"/>
  <cols>
    <col min="1" max="1" width="2.77734375" customWidth="1"/>
  </cols>
  <sheetData>
    <row r="2" spans="2:3" x14ac:dyDescent="0.2">
      <c r="B2" t="s">
        <v>40</v>
      </c>
    </row>
    <row r="3" spans="2:3" x14ac:dyDescent="0.2">
      <c r="C3" t="s">
        <v>42</v>
      </c>
    </row>
    <row r="5" spans="2:3" x14ac:dyDescent="0.2">
      <c r="B5" t="s">
        <v>41</v>
      </c>
    </row>
    <row r="6" spans="2:3" x14ac:dyDescent="0.2">
      <c r="C6" t="s">
        <v>43</v>
      </c>
    </row>
    <row r="8" spans="2:3" x14ac:dyDescent="0.2">
      <c r="B8" t="s">
        <v>45</v>
      </c>
    </row>
    <row r="10" spans="2:3" x14ac:dyDescent="0.2">
      <c r="B10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33"/>
  <sheetViews>
    <sheetView topLeftCell="B1" zoomScale="75" zoomScaleNormal="75" workbookViewId="0">
      <selection activeCell="C29" sqref="C29"/>
    </sheetView>
  </sheetViews>
  <sheetFormatPr defaultRowHeight="14.25" x14ac:dyDescent="0.2"/>
  <cols>
    <col min="1" max="1" width="3.21875" customWidth="1"/>
    <col min="2" max="2" width="2.44140625" customWidth="1"/>
    <col min="4" max="4" width="4.109375" customWidth="1"/>
    <col min="5" max="5" width="2.33203125" customWidth="1"/>
    <col min="6" max="6" width="3.5546875" bestFit="1" customWidth="1"/>
    <col min="8" max="8" width="4.109375" customWidth="1"/>
    <col min="9" max="9" width="2.5546875" customWidth="1"/>
    <col min="10" max="10" width="3.5546875" bestFit="1" customWidth="1"/>
    <col min="11" max="11" width="10.88671875" customWidth="1"/>
    <col min="12" max="12" width="5.5546875" customWidth="1"/>
    <col min="13" max="13" width="2.5546875" customWidth="1"/>
    <col min="14" max="14" width="3.5546875" bestFit="1" customWidth="1"/>
    <col min="16" max="16" width="4.88671875" customWidth="1"/>
    <col min="17" max="17" width="2.109375" customWidth="1"/>
    <col min="18" max="18" width="2.33203125" customWidth="1"/>
    <col min="19" max="19" width="11.109375" bestFit="1" customWidth="1"/>
    <col min="20" max="20" width="16.6640625" style="5" bestFit="1" customWidth="1"/>
    <col min="21" max="21" width="15.5546875" bestFit="1" customWidth="1"/>
    <col min="22" max="22" width="11.88671875" bestFit="1" customWidth="1"/>
    <col min="23" max="23" width="9.77734375" bestFit="1" customWidth="1"/>
    <col min="24" max="24" width="2.33203125" customWidth="1"/>
    <col min="25" max="25" width="10.33203125" bestFit="1" customWidth="1"/>
    <col min="26" max="26" width="2.5546875" customWidth="1"/>
    <col min="28" max="28" width="9.5546875" bestFit="1" customWidth="1"/>
    <col min="29" max="29" width="4.44140625" customWidth="1"/>
    <col min="30" max="30" width="10.5546875" bestFit="1" customWidth="1"/>
  </cols>
  <sheetData>
    <row r="1" spans="2:30" ht="15" thickBot="1" x14ac:dyDescent="0.25"/>
    <row r="2" spans="2:30" ht="15" thickBot="1" x14ac:dyDescent="0.25">
      <c r="B2" s="42">
        <v>0</v>
      </c>
      <c r="C2" s="43" t="s">
        <v>55</v>
      </c>
      <c r="D2" s="44">
        <f>B2+D5</f>
        <v>1</v>
      </c>
      <c r="F2" s="49">
        <f>D2</f>
        <v>1</v>
      </c>
      <c r="G2" s="50" t="str">
        <f>F2+1&amp;"-"&amp;H2</f>
        <v>2-2,5</v>
      </c>
      <c r="H2" s="51">
        <f>F2+H5</f>
        <v>2.5</v>
      </c>
      <c r="J2" s="48">
        <f>H14</f>
        <v>6</v>
      </c>
      <c r="K2" s="43" t="str">
        <f>J2+1&amp;"-"&amp;L2</f>
        <v>7-7,5</v>
      </c>
      <c r="L2" s="44">
        <f>J2+L5</f>
        <v>7.5</v>
      </c>
      <c r="N2" s="49">
        <f>L2</f>
        <v>7.5</v>
      </c>
      <c r="O2" s="50" t="str">
        <f>N2+1&amp;"-"&amp;P2</f>
        <v>8,5-8,5</v>
      </c>
      <c r="P2" s="51">
        <f>N2+P5</f>
        <v>8.5</v>
      </c>
      <c r="S2" s="11" t="s">
        <v>10</v>
      </c>
      <c r="T2" s="11" t="s">
        <v>35</v>
      </c>
      <c r="U2" s="11" t="s">
        <v>17</v>
      </c>
      <c r="V2" s="11" t="s">
        <v>23</v>
      </c>
      <c r="W2" s="11" t="s">
        <v>24</v>
      </c>
      <c r="Y2" s="11" t="s">
        <v>37</v>
      </c>
      <c r="AA2" s="27" t="s">
        <v>53</v>
      </c>
      <c r="AB2" t="s">
        <v>58</v>
      </c>
      <c r="AC2" s="41" t="s">
        <v>59</v>
      </c>
      <c r="AD2" s="5" t="s">
        <v>54</v>
      </c>
    </row>
    <row r="3" spans="2:30" x14ac:dyDescent="0.2">
      <c r="B3" s="71" t="s">
        <v>0</v>
      </c>
      <c r="C3" s="72"/>
      <c r="D3" s="73"/>
      <c r="F3" s="65" t="s">
        <v>1</v>
      </c>
      <c r="G3" s="66"/>
      <c r="H3" s="67"/>
      <c r="J3" s="71" t="s">
        <v>4</v>
      </c>
      <c r="K3" s="72"/>
      <c r="L3" s="73"/>
      <c r="N3" s="65" t="s">
        <v>5</v>
      </c>
      <c r="O3" s="66"/>
      <c r="P3" s="67"/>
      <c r="S3" s="61" t="s">
        <v>11</v>
      </c>
      <c r="T3" s="30">
        <v>1</v>
      </c>
      <c r="U3" s="34">
        <v>1.5</v>
      </c>
      <c r="V3" s="58">
        <v>70</v>
      </c>
      <c r="W3" s="58" t="s">
        <v>25</v>
      </c>
      <c r="Y3" s="58">
        <f>V3</f>
        <v>70</v>
      </c>
      <c r="AA3" t="str">
        <f>S3</f>
        <v>Beatles</v>
      </c>
      <c r="AB3" s="28">
        <f>Y3</f>
        <v>70</v>
      </c>
      <c r="AC3" s="7">
        <f>U3</f>
        <v>1.5</v>
      </c>
      <c r="AD3" s="28">
        <f>AC3*AB3</f>
        <v>105</v>
      </c>
    </row>
    <row r="4" spans="2:30" x14ac:dyDescent="0.2">
      <c r="B4" s="74"/>
      <c r="C4" s="75"/>
      <c r="D4" s="76"/>
      <c r="F4" s="68"/>
      <c r="G4" s="69"/>
      <c r="H4" s="70"/>
      <c r="J4" s="74"/>
      <c r="K4" s="75"/>
      <c r="L4" s="76"/>
      <c r="N4" s="68"/>
      <c r="O4" s="69"/>
      <c r="P4" s="70"/>
      <c r="S4" s="64"/>
      <c r="T4" s="31">
        <v>5</v>
      </c>
      <c r="U4" s="35">
        <v>2</v>
      </c>
      <c r="V4" s="60"/>
      <c r="W4" s="60"/>
      <c r="Y4" s="60"/>
      <c r="AA4" t="str">
        <f>S10</f>
        <v>Guns</v>
      </c>
      <c r="AB4" s="28">
        <f>Y10</f>
        <v>55</v>
      </c>
      <c r="AC4" s="7">
        <f>U10</f>
        <v>2</v>
      </c>
      <c r="AD4" s="28">
        <f t="shared" ref="AD4:AD6" si="0">AC4*AB4</f>
        <v>110</v>
      </c>
    </row>
    <row r="5" spans="2:30" ht="15" thickBot="1" x14ac:dyDescent="0.25">
      <c r="B5" s="45">
        <v>1</v>
      </c>
      <c r="C5" s="46" t="str">
        <f>AA5</f>
        <v>Nirvana</v>
      </c>
      <c r="D5" s="47">
        <f>AC5</f>
        <v>1</v>
      </c>
      <c r="F5" s="52">
        <v>2</v>
      </c>
      <c r="G5" s="53" t="str">
        <f>AA10</f>
        <v>Queen</v>
      </c>
      <c r="H5" s="54">
        <f>AC10</f>
        <v>1.5</v>
      </c>
      <c r="J5" s="45">
        <v>5</v>
      </c>
      <c r="K5" s="46" t="str">
        <f>AA24</f>
        <v>Sabbath</v>
      </c>
      <c r="L5" s="47">
        <f>AC24</f>
        <v>1.5</v>
      </c>
      <c r="N5" s="52">
        <v>6</v>
      </c>
      <c r="O5" s="53" t="str">
        <f>AA28</f>
        <v>Sabbath</v>
      </c>
      <c r="P5" s="54">
        <f>AC28</f>
        <v>1</v>
      </c>
      <c r="S5" s="62"/>
      <c r="T5" s="32">
        <v>6</v>
      </c>
      <c r="U5" s="33">
        <v>2.5</v>
      </c>
      <c r="V5" s="59"/>
      <c r="W5" s="59"/>
      <c r="Y5" s="59"/>
      <c r="AA5" t="str">
        <f>S12</f>
        <v>Nirvana</v>
      </c>
      <c r="AB5" s="28">
        <f>Y12</f>
        <v>75</v>
      </c>
      <c r="AC5" s="7">
        <f>U12</f>
        <v>1</v>
      </c>
      <c r="AD5" s="29">
        <f t="shared" si="0"/>
        <v>75</v>
      </c>
    </row>
    <row r="6" spans="2:30" x14ac:dyDescent="0.2">
      <c r="S6" s="61" t="s">
        <v>12</v>
      </c>
      <c r="T6" s="36">
        <v>2</v>
      </c>
      <c r="U6" s="34">
        <v>3.5</v>
      </c>
      <c r="V6" s="58">
        <v>360</v>
      </c>
      <c r="W6" s="58" t="s">
        <v>18</v>
      </c>
      <c r="Y6" s="58">
        <f>V6/8</f>
        <v>45</v>
      </c>
      <c r="AA6" t="str">
        <f>S19</f>
        <v>Maiden</v>
      </c>
      <c r="AB6" s="28">
        <f>Y19</f>
        <v>40</v>
      </c>
      <c r="AC6" s="7">
        <f>U19</f>
        <v>3</v>
      </c>
      <c r="AD6" s="28">
        <f t="shared" si="0"/>
        <v>120</v>
      </c>
    </row>
    <row r="7" spans="2:30" ht="15" thickBot="1" x14ac:dyDescent="0.25">
      <c r="S7" s="62"/>
      <c r="T7" s="32">
        <v>3</v>
      </c>
      <c r="U7" s="33">
        <v>2</v>
      </c>
      <c r="V7" s="59"/>
      <c r="W7" s="59"/>
      <c r="Y7" s="59"/>
    </row>
    <row r="8" spans="2:30" x14ac:dyDescent="0.2">
      <c r="F8" s="49">
        <f>D2</f>
        <v>1</v>
      </c>
      <c r="G8" s="50" t="str">
        <f>F8+1&amp;"-"&amp;H8</f>
        <v>2-2,5</v>
      </c>
      <c r="H8" s="51">
        <f>F8+H11</f>
        <v>2.5</v>
      </c>
      <c r="N8" s="48">
        <f>L2</f>
        <v>7.5</v>
      </c>
      <c r="O8" s="43" t="str">
        <f>N8+1&amp;"-"&amp;P8</f>
        <v>8,5-10,5</v>
      </c>
      <c r="P8" s="44">
        <f>N8+P11</f>
        <v>10.5</v>
      </c>
      <c r="S8" s="61" t="s">
        <v>13</v>
      </c>
      <c r="T8" s="36">
        <v>3</v>
      </c>
      <c r="U8" s="34">
        <v>2.5</v>
      </c>
      <c r="V8" s="58">
        <v>8400</v>
      </c>
      <c r="W8" s="58" t="s">
        <v>27</v>
      </c>
      <c r="Y8" s="58">
        <f>V8/30/8</f>
        <v>35</v>
      </c>
      <c r="AA8" t="s">
        <v>56</v>
      </c>
    </row>
    <row r="9" spans="2:30" ht="15" thickBot="1" x14ac:dyDescent="0.25">
      <c r="F9" s="65" t="s">
        <v>2</v>
      </c>
      <c r="G9" s="66"/>
      <c r="H9" s="67"/>
      <c r="N9" s="71" t="s">
        <v>6</v>
      </c>
      <c r="O9" s="72"/>
      <c r="P9" s="73"/>
      <c r="S9" s="62"/>
      <c r="T9" s="32">
        <v>4</v>
      </c>
      <c r="U9" s="33">
        <v>5</v>
      </c>
      <c r="V9" s="59"/>
      <c r="W9" s="59"/>
      <c r="Y9" s="59"/>
      <c r="AA9" t="str">
        <f>S6</f>
        <v>Foo</v>
      </c>
      <c r="AB9" s="28">
        <f>Y6</f>
        <v>45</v>
      </c>
      <c r="AC9" s="7">
        <f>U6</f>
        <v>3.5</v>
      </c>
      <c r="AD9" s="28">
        <f>AB9*AC9</f>
        <v>157.5</v>
      </c>
    </row>
    <row r="10" spans="2:30" x14ac:dyDescent="0.2">
      <c r="F10" s="68"/>
      <c r="G10" s="69"/>
      <c r="H10" s="70"/>
      <c r="N10" s="74"/>
      <c r="O10" s="75"/>
      <c r="P10" s="76"/>
      <c r="S10" s="61" t="s">
        <v>14</v>
      </c>
      <c r="T10" s="30">
        <v>1</v>
      </c>
      <c r="U10" s="34">
        <v>2</v>
      </c>
      <c r="V10" s="58">
        <v>55</v>
      </c>
      <c r="W10" s="58" t="s">
        <v>25</v>
      </c>
      <c r="Y10" s="58">
        <f>V10</f>
        <v>55</v>
      </c>
      <c r="AA10" t="str">
        <f>S16</f>
        <v>Queen</v>
      </c>
      <c r="AB10" s="28">
        <f>Y16</f>
        <v>80</v>
      </c>
      <c r="AC10" s="7">
        <f>U16</f>
        <v>1.5</v>
      </c>
      <c r="AD10" s="29">
        <f>AB10*AC10</f>
        <v>120</v>
      </c>
    </row>
    <row r="11" spans="2:30" ht="15" thickBot="1" x14ac:dyDescent="0.25">
      <c r="F11" s="52">
        <v>3</v>
      </c>
      <c r="G11" s="53" t="str">
        <f>AA15</f>
        <v>Guns</v>
      </c>
      <c r="H11" s="54">
        <f>AC15</f>
        <v>1.5</v>
      </c>
      <c r="N11" s="45">
        <v>7</v>
      </c>
      <c r="O11" s="46" t="str">
        <f>AA32</f>
        <v>Megadeth</v>
      </c>
      <c r="P11" s="47">
        <f>AC32</f>
        <v>3</v>
      </c>
      <c r="S11" s="62"/>
      <c r="T11" s="32">
        <v>3</v>
      </c>
      <c r="U11" s="33">
        <v>1.5</v>
      </c>
      <c r="V11" s="59"/>
      <c r="W11" s="59"/>
      <c r="Y11" s="59"/>
    </row>
    <row r="12" spans="2:30" x14ac:dyDescent="0.2">
      <c r="S12" s="61" t="s">
        <v>7</v>
      </c>
      <c r="T12" s="30">
        <v>1</v>
      </c>
      <c r="U12" s="34">
        <v>1</v>
      </c>
      <c r="V12" s="58">
        <v>4200</v>
      </c>
      <c r="W12" s="58" t="s">
        <v>28</v>
      </c>
      <c r="Y12" s="58">
        <f>V12/7/8</f>
        <v>75</v>
      </c>
      <c r="AA12" t="s">
        <v>57</v>
      </c>
    </row>
    <row r="13" spans="2:30" ht="15" thickBot="1" x14ac:dyDescent="0.25">
      <c r="S13" s="62"/>
      <c r="T13" s="32">
        <v>4</v>
      </c>
      <c r="U13" s="33">
        <v>3</v>
      </c>
      <c r="V13" s="59"/>
      <c r="W13" s="59"/>
      <c r="Y13" s="59"/>
      <c r="AA13" t="str">
        <f>S6</f>
        <v>Foo</v>
      </c>
      <c r="AB13" s="28">
        <f>Y6</f>
        <v>45</v>
      </c>
      <c r="AC13" s="7">
        <f>U7</f>
        <v>2</v>
      </c>
      <c r="AD13" s="28">
        <f>AB13*AC13</f>
        <v>90</v>
      </c>
    </row>
    <row r="14" spans="2:30" x14ac:dyDescent="0.2">
      <c r="F14" s="48">
        <f>D2</f>
        <v>1</v>
      </c>
      <c r="G14" s="43" t="str">
        <f>F14+1&amp;"-"&amp;H14</f>
        <v>2-6</v>
      </c>
      <c r="H14" s="44">
        <f>F14+H17</f>
        <v>6</v>
      </c>
      <c r="J14" s="5"/>
      <c r="K14" s="5"/>
      <c r="L14" s="5"/>
      <c r="N14" s="5"/>
      <c r="O14" s="5"/>
      <c r="P14" s="5"/>
      <c r="S14" s="61" t="s">
        <v>15</v>
      </c>
      <c r="T14" s="36">
        <v>5</v>
      </c>
      <c r="U14" s="34">
        <v>1.5</v>
      </c>
      <c r="V14" s="58">
        <v>720</v>
      </c>
      <c r="W14" s="58" t="s">
        <v>18</v>
      </c>
      <c r="Y14" s="58">
        <f>V14/8</f>
        <v>90</v>
      </c>
      <c r="AA14" t="str">
        <f>S8</f>
        <v>Peppers</v>
      </c>
      <c r="AB14" s="28">
        <f>Y8</f>
        <v>35</v>
      </c>
      <c r="AC14" s="7">
        <f>U8</f>
        <v>2.5</v>
      </c>
      <c r="AD14" s="28">
        <f t="shared" ref="AD14:AD15" si="1">AB14*AC14</f>
        <v>87.5</v>
      </c>
    </row>
    <row r="15" spans="2:30" ht="15" thickBot="1" x14ac:dyDescent="0.25">
      <c r="F15" s="71" t="s">
        <v>3</v>
      </c>
      <c r="G15" s="72"/>
      <c r="H15" s="73"/>
      <c r="J15" s="6"/>
      <c r="K15" s="6"/>
      <c r="L15" s="6"/>
      <c r="N15" s="6"/>
      <c r="O15" s="6"/>
      <c r="P15" s="6"/>
      <c r="S15" s="62"/>
      <c r="T15" s="32">
        <v>6</v>
      </c>
      <c r="U15" s="33">
        <v>1</v>
      </c>
      <c r="V15" s="59"/>
      <c r="W15" s="59"/>
      <c r="Y15" s="59"/>
      <c r="AA15" t="str">
        <f>S10</f>
        <v>Guns</v>
      </c>
      <c r="AB15" s="28">
        <f>Y10</f>
        <v>55</v>
      </c>
      <c r="AC15" s="7">
        <f>U11</f>
        <v>1.5</v>
      </c>
      <c r="AD15" s="29">
        <f t="shared" si="1"/>
        <v>82.5</v>
      </c>
    </row>
    <row r="16" spans="2:30" ht="15" thickBot="1" x14ac:dyDescent="0.25">
      <c r="F16" s="74"/>
      <c r="G16" s="75"/>
      <c r="H16" s="76"/>
      <c r="J16" s="6"/>
      <c r="K16" s="6"/>
      <c r="L16" s="6"/>
      <c r="N16" s="6"/>
      <c r="O16" s="6"/>
      <c r="P16" s="6"/>
      <c r="S16" s="11" t="s">
        <v>8</v>
      </c>
      <c r="T16" s="11">
        <v>2</v>
      </c>
      <c r="U16" s="19">
        <v>1.5</v>
      </c>
      <c r="V16" s="21">
        <v>80</v>
      </c>
      <c r="W16" s="24" t="s">
        <v>25</v>
      </c>
      <c r="Y16" s="24">
        <f>V16</f>
        <v>80</v>
      </c>
    </row>
    <row r="17" spans="3:30" ht="15" thickBot="1" x14ac:dyDescent="0.25">
      <c r="F17" s="45">
        <v>4</v>
      </c>
      <c r="G17" s="46" t="str">
        <f>AA18</f>
        <v>Peppers</v>
      </c>
      <c r="H17" s="47">
        <f>AC18</f>
        <v>5</v>
      </c>
      <c r="J17" s="5"/>
      <c r="K17" s="5"/>
      <c r="L17" s="5"/>
      <c r="N17" s="5"/>
      <c r="O17" s="5"/>
      <c r="P17" s="5"/>
      <c r="S17" s="61" t="s">
        <v>9</v>
      </c>
      <c r="T17" s="36">
        <v>6</v>
      </c>
      <c r="U17" s="34">
        <v>2</v>
      </c>
      <c r="V17" s="58">
        <v>6000</v>
      </c>
      <c r="W17" s="58" t="s">
        <v>29</v>
      </c>
      <c r="Y17" s="58">
        <f>V17/15/8</f>
        <v>50</v>
      </c>
      <c r="AA17" t="s">
        <v>60</v>
      </c>
    </row>
    <row r="18" spans="3:30" ht="15" thickBot="1" x14ac:dyDescent="0.25">
      <c r="S18" s="62"/>
      <c r="T18" s="32">
        <v>7</v>
      </c>
      <c r="U18" s="33">
        <v>3</v>
      </c>
      <c r="V18" s="59"/>
      <c r="W18" s="59"/>
      <c r="Y18" s="59"/>
      <c r="AA18" t="str">
        <f>S8</f>
        <v>Peppers</v>
      </c>
      <c r="AB18" s="28">
        <f>Y8</f>
        <v>35</v>
      </c>
      <c r="AC18" s="7">
        <f>U9</f>
        <v>5</v>
      </c>
      <c r="AD18" s="29">
        <f>AB18*AC18</f>
        <v>175</v>
      </c>
    </row>
    <row r="19" spans="3:30" x14ac:dyDescent="0.2">
      <c r="C19" t="s">
        <v>36</v>
      </c>
      <c r="I19" s="57" t="s">
        <v>64</v>
      </c>
      <c r="J19" s="57"/>
      <c r="K19" s="57"/>
      <c r="L19">
        <v>4</v>
      </c>
      <c r="S19" s="63" t="s">
        <v>16</v>
      </c>
      <c r="T19" s="37">
        <v>1</v>
      </c>
      <c r="U19" s="39">
        <v>3</v>
      </c>
      <c r="V19" s="58">
        <v>320</v>
      </c>
      <c r="W19" s="58" t="s">
        <v>18</v>
      </c>
      <c r="Y19" s="58">
        <f>V19/8</f>
        <v>40</v>
      </c>
      <c r="AA19" t="str">
        <f>S12</f>
        <v>Nirvana</v>
      </c>
      <c r="AB19" s="28">
        <f>Y12</f>
        <v>75</v>
      </c>
      <c r="AC19" s="7">
        <f>U13</f>
        <v>3</v>
      </c>
      <c r="AD19" s="28">
        <f t="shared" ref="AD19:AD20" si="2">AB19*AC19</f>
        <v>225</v>
      </c>
    </row>
    <row r="20" spans="3:30" x14ac:dyDescent="0.2">
      <c r="C20" t="s">
        <v>52</v>
      </c>
      <c r="I20" s="57" t="s">
        <v>66</v>
      </c>
      <c r="J20" s="57"/>
      <c r="K20" s="57"/>
      <c r="L20">
        <v>3</v>
      </c>
      <c r="S20" s="64"/>
      <c r="T20" s="31">
        <v>4</v>
      </c>
      <c r="U20" s="35">
        <v>4.5</v>
      </c>
      <c r="V20" s="60"/>
      <c r="W20" s="60"/>
      <c r="Y20" s="60"/>
      <c r="AA20" t="str">
        <f>S19</f>
        <v>Maiden</v>
      </c>
      <c r="AB20" s="28">
        <f>Y19</f>
        <v>40</v>
      </c>
      <c r="AC20" s="7">
        <f>U20</f>
        <v>4.5</v>
      </c>
      <c r="AD20" s="40">
        <f t="shared" si="2"/>
        <v>180</v>
      </c>
    </row>
    <row r="21" spans="3:30" ht="15" thickBot="1" x14ac:dyDescent="0.25">
      <c r="C21" t="s">
        <v>48</v>
      </c>
      <c r="I21" s="83">
        <f>L19/7</f>
        <v>0.5714285714285714</v>
      </c>
      <c r="J21" s="83"/>
      <c r="K21" s="83"/>
      <c r="S21" s="62"/>
      <c r="T21" s="32">
        <v>7</v>
      </c>
      <c r="U21" s="38">
        <v>4</v>
      </c>
      <c r="V21" s="59"/>
      <c r="W21" s="59"/>
      <c r="Y21" s="59"/>
    </row>
    <row r="22" spans="3:30" x14ac:dyDescent="0.2">
      <c r="AA22" t="s">
        <v>61</v>
      </c>
    </row>
    <row r="23" spans="3:30" ht="15" thickBot="1" x14ac:dyDescent="0.25">
      <c r="C23" t="s">
        <v>46</v>
      </c>
      <c r="L23" s="7" t="str">
        <f>P8&amp;" horas"</f>
        <v>10,5 horas</v>
      </c>
      <c r="AA23" t="str">
        <f>S3</f>
        <v>Beatles</v>
      </c>
      <c r="AB23" s="28">
        <f>Y3</f>
        <v>70</v>
      </c>
      <c r="AC23" s="7">
        <f>U4</f>
        <v>2</v>
      </c>
      <c r="AD23" s="28">
        <f>AB23*AC23</f>
        <v>140</v>
      </c>
    </row>
    <row r="24" spans="3:30" ht="15" thickBot="1" x14ac:dyDescent="0.25">
      <c r="S24" s="9" t="s">
        <v>23</v>
      </c>
      <c r="T24" s="23" t="s">
        <v>26</v>
      </c>
      <c r="AA24" t="str">
        <f>S14</f>
        <v>Sabbath</v>
      </c>
      <c r="AB24" s="28">
        <f>Y14</f>
        <v>90</v>
      </c>
      <c r="AC24" s="7">
        <f>U14</f>
        <v>1.5</v>
      </c>
      <c r="AD24" s="29">
        <f>AB24*AC24</f>
        <v>135</v>
      </c>
    </row>
    <row r="25" spans="3:30" x14ac:dyDescent="0.2">
      <c r="C25" t="s">
        <v>49</v>
      </c>
      <c r="L25" s="82">
        <f>P8/8</f>
        <v>1.3125</v>
      </c>
      <c r="M25" t="s">
        <v>65</v>
      </c>
      <c r="S25" s="10" t="s">
        <v>19</v>
      </c>
      <c r="T25" s="22" t="s">
        <v>25</v>
      </c>
    </row>
    <row r="26" spans="3:30" x14ac:dyDescent="0.2">
      <c r="S26" s="1" t="s">
        <v>20</v>
      </c>
      <c r="T26" s="2" t="s">
        <v>18</v>
      </c>
      <c r="AA26" t="s">
        <v>62</v>
      </c>
    </row>
    <row r="27" spans="3:30" x14ac:dyDescent="0.2">
      <c r="C27" t="s">
        <v>47</v>
      </c>
      <c r="S27" s="1" t="s">
        <v>21</v>
      </c>
      <c r="T27" s="2" t="s">
        <v>18</v>
      </c>
      <c r="AA27" t="str">
        <f>S3</f>
        <v>Beatles</v>
      </c>
      <c r="AB27" s="28">
        <f>Y3</f>
        <v>70</v>
      </c>
      <c r="AC27" s="7">
        <f>U5</f>
        <v>2.5</v>
      </c>
      <c r="AD27" s="28">
        <f>AB27*AC27</f>
        <v>175</v>
      </c>
    </row>
    <row r="28" spans="3:30" ht="15" thickBot="1" x14ac:dyDescent="0.25">
      <c r="C28" t="s">
        <v>51</v>
      </c>
      <c r="S28" s="3" t="s">
        <v>22</v>
      </c>
      <c r="T28" s="4" t="s">
        <v>18</v>
      </c>
      <c r="AA28" t="str">
        <f>S14</f>
        <v>Sabbath</v>
      </c>
      <c r="AB28" s="28">
        <f>Y14</f>
        <v>90</v>
      </c>
      <c r="AC28" s="7">
        <f>U15</f>
        <v>1</v>
      </c>
      <c r="AD28" s="29">
        <f>AB28*AC28</f>
        <v>90</v>
      </c>
    </row>
    <row r="29" spans="3:30" x14ac:dyDescent="0.2">
      <c r="C29" t="s">
        <v>68</v>
      </c>
      <c r="AA29" t="str">
        <f>S17</f>
        <v>Megadeth</v>
      </c>
      <c r="AB29" s="28">
        <f>Y17</f>
        <v>50</v>
      </c>
      <c r="AC29" s="7">
        <f>U17</f>
        <v>2</v>
      </c>
      <c r="AD29" s="28">
        <f>AB29*AC29</f>
        <v>100</v>
      </c>
    </row>
    <row r="31" spans="3:30" x14ac:dyDescent="0.2">
      <c r="C31" t="s">
        <v>50</v>
      </c>
      <c r="AA31" t="s">
        <v>63</v>
      </c>
    </row>
    <row r="32" spans="3:30" x14ac:dyDescent="0.2">
      <c r="AA32" t="str">
        <f>S17</f>
        <v>Megadeth</v>
      </c>
      <c r="AB32" s="28">
        <f>Y17</f>
        <v>50</v>
      </c>
      <c r="AC32" s="7">
        <f>U18</f>
        <v>3</v>
      </c>
      <c r="AD32" s="29">
        <f>AB32*AC32</f>
        <v>150</v>
      </c>
    </row>
    <row r="33" spans="27:30" x14ac:dyDescent="0.2">
      <c r="AA33" t="str">
        <f>S19</f>
        <v>Maiden</v>
      </c>
      <c r="AB33" s="28">
        <f>Y19</f>
        <v>40</v>
      </c>
      <c r="AC33" s="7">
        <f>U21</f>
        <v>4</v>
      </c>
      <c r="AD33" s="28">
        <f>AB33*AC33</f>
        <v>160</v>
      </c>
    </row>
  </sheetData>
  <mergeCells count="42">
    <mergeCell ref="B3:D4"/>
    <mergeCell ref="F3:H4"/>
    <mergeCell ref="F9:H10"/>
    <mergeCell ref="F15:H16"/>
    <mergeCell ref="J3:L4"/>
    <mergeCell ref="N3:P4"/>
    <mergeCell ref="S3:S5"/>
    <mergeCell ref="S6:S7"/>
    <mergeCell ref="S8:S9"/>
    <mergeCell ref="S10:S11"/>
    <mergeCell ref="N9:P10"/>
    <mergeCell ref="S12:S13"/>
    <mergeCell ref="S14:S15"/>
    <mergeCell ref="S17:S18"/>
    <mergeCell ref="S19:S21"/>
    <mergeCell ref="W14:W15"/>
    <mergeCell ref="W12:W13"/>
    <mergeCell ref="V14:V15"/>
    <mergeCell ref="V17:V18"/>
    <mergeCell ref="V19:V21"/>
    <mergeCell ref="Y3:Y5"/>
    <mergeCell ref="Y6:Y7"/>
    <mergeCell ref="Y8:Y9"/>
    <mergeCell ref="Y10:Y11"/>
    <mergeCell ref="Y12:Y13"/>
    <mergeCell ref="Y14:Y15"/>
    <mergeCell ref="W17:W18"/>
    <mergeCell ref="W19:W21"/>
    <mergeCell ref="W3:W5"/>
    <mergeCell ref="W6:W7"/>
    <mergeCell ref="W8:W9"/>
    <mergeCell ref="W10:W11"/>
    <mergeCell ref="V3:V5"/>
    <mergeCell ref="V6:V7"/>
    <mergeCell ref="V8:V9"/>
    <mergeCell ref="V10:V11"/>
    <mergeCell ref="V12:V13"/>
    <mergeCell ref="I19:K19"/>
    <mergeCell ref="I20:K20"/>
    <mergeCell ref="I21:K21"/>
    <mergeCell ref="Y17:Y18"/>
    <mergeCell ref="Y19:Y2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8"/>
  <sheetViews>
    <sheetView zoomScale="80" zoomScaleNormal="80" workbookViewId="0">
      <selection activeCell="E6" sqref="E6"/>
    </sheetView>
  </sheetViews>
  <sheetFormatPr defaultRowHeight="14.25" x14ac:dyDescent="0.2"/>
  <cols>
    <col min="1" max="1" width="2.6640625" customWidth="1"/>
    <col min="2" max="2" width="6.33203125" bestFit="1" customWidth="1"/>
    <col min="3" max="3" width="8.21875" bestFit="1" customWidth="1"/>
    <col min="4" max="4" width="9.6640625" customWidth="1"/>
    <col min="5" max="5" width="10" customWidth="1"/>
    <col min="6" max="6" width="10.21875" customWidth="1"/>
    <col min="7" max="7" width="12.5546875" bestFit="1" customWidth="1"/>
    <col min="8" max="8" width="11.88671875" bestFit="1" customWidth="1"/>
    <col min="9" max="9" width="3" customWidth="1"/>
    <col min="10" max="10" width="11.109375" bestFit="1" customWidth="1"/>
    <col min="11" max="11" width="16.77734375" bestFit="1" customWidth="1"/>
    <col min="12" max="12" width="15.6640625" bestFit="1" customWidth="1"/>
    <col min="13" max="13" width="12.21875" bestFit="1" customWidth="1"/>
    <col min="14" max="14" width="9.5546875" bestFit="1" customWidth="1"/>
    <col min="15" max="15" width="3.44140625" customWidth="1"/>
    <col min="16" max="16" width="10.21875" bestFit="1" customWidth="1"/>
  </cols>
  <sheetData>
    <row r="1" spans="2:16" ht="15" thickBot="1" x14ac:dyDescent="0.25"/>
    <row r="2" spans="2:16" s="5" customFormat="1" ht="15" thickBot="1" x14ac:dyDescent="0.25">
      <c r="B2" s="5" t="s">
        <v>30</v>
      </c>
      <c r="C2" s="5" t="s">
        <v>31</v>
      </c>
      <c r="D2" s="5" t="s">
        <v>32</v>
      </c>
      <c r="E2" s="5" t="s">
        <v>23</v>
      </c>
      <c r="F2" s="5" t="s">
        <v>39</v>
      </c>
      <c r="G2" s="5" t="s">
        <v>34</v>
      </c>
      <c r="H2" s="5" t="s">
        <v>33</v>
      </c>
      <c r="J2" s="11" t="s">
        <v>10</v>
      </c>
      <c r="K2" s="11" t="s">
        <v>35</v>
      </c>
      <c r="L2" s="11" t="s">
        <v>17</v>
      </c>
      <c r="M2" s="11" t="s">
        <v>23</v>
      </c>
      <c r="N2" s="11" t="s">
        <v>24</v>
      </c>
      <c r="O2"/>
      <c r="P2" s="11" t="s">
        <v>37</v>
      </c>
    </row>
    <row r="3" spans="2:16" x14ac:dyDescent="0.2">
      <c r="B3" s="5">
        <v>1</v>
      </c>
      <c r="C3" s="7">
        <f>Fragmento_Custo_DR!D5</f>
        <v>1</v>
      </c>
      <c r="D3" t="str">
        <f>Fragmento_Custo_DR!C5</f>
        <v>Nirvana</v>
      </c>
      <c r="E3" s="8">
        <f>P12</f>
        <v>75</v>
      </c>
      <c r="F3" s="8">
        <f>E3*C3</f>
        <v>75</v>
      </c>
      <c r="G3" s="8">
        <v>500</v>
      </c>
      <c r="H3" s="8">
        <f>G3+F3</f>
        <v>575</v>
      </c>
      <c r="J3" s="61" t="s">
        <v>11</v>
      </c>
      <c r="K3" s="12">
        <v>1</v>
      </c>
      <c r="L3" s="16">
        <v>1.5</v>
      </c>
      <c r="M3" s="58">
        <v>70</v>
      </c>
      <c r="N3" s="58" t="s">
        <v>25</v>
      </c>
      <c r="P3" s="58">
        <f>M3</f>
        <v>70</v>
      </c>
    </row>
    <row r="4" spans="2:16" x14ac:dyDescent="0.2">
      <c r="B4" s="5">
        <v>2</v>
      </c>
      <c r="C4" s="7">
        <f>Fragmento_Custo_DR!H5</f>
        <v>1.5</v>
      </c>
      <c r="D4" t="str">
        <f>Fragmento_Custo_DR!G5</f>
        <v>Queen</v>
      </c>
      <c r="E4" s="8">
        <f>P16</f>
        <v>80</v>
      </c>
      <c r="F4" s="8">
        <f t="shared" ref="F4:F9" si="0">E4*C4</f>
        <v>120</v>
      </c>
      <c r="G4" s="8">
        <v>0</v>
      </c>
      <c r="H4" s="8">
        <f t="shared" ref="H4:H8" si="1">G4+F4</f>
        <v>120</v>
      </c>
      <c r="J4" s="64"/>
      <c r="K4" s="13">
        <v>5</v>
      </c>
      <c r="L4" s="17">
        <v>2</v>
      </c>
      <c r="M4" s="60"/>
      <c r="N4" s="60"/>
      <c r="P4" s="60"/>
    </row>
    <row r="5" spans="2:16" ht="15" thickBot="1" x14ac:dyDescent="0.25">
      <c r="B5" s="5">
        <v>3</v>
      </c>
      <c r="C5" s="7">
        <f>Fragmento_Custo_DR!H11</f>
        <v>1.5</v>
      </c>
      <c r="D5" t="str">
        <f>Fragmento_Custo_DR!G11</f>
        <v>Guns</v>
      </c>
      <c r="E5" s="8">
        <f>P10</f>
        <v>55</v>
      </c>
      <c r="F5" s="8">
        <f t="shared" si="0"/>
        <v>82.5</v>
      </c>
      <c r="G5" s="8">
        <v>650</v>
      </c>
      <c r="H5" s="8">
        <f t="shared" si="1"/>
        <v>732.5</v>
      </c>
      <c r="J5" s="62"/>
      <c r="K5" s="14">
        <v>6</v>
      </c>
      <c r="L5" s="18">
        <v>2.5</v>
      </c>
      <c r="M5" s="59"/>
      <c r="N5" s="59"/>
      <c r="P5" s="59"/>
    </row>
    <row r="6" spans="2:16" x14ac:dyDescent="0.2">
      <c r="B6" s="5">
        <v>4</v>
      </c>
      <c r="C6" s="7">
        <f>Fragmento_Custo_DR!H17</f>
        <v>5</v>
      </c>
      <c r="D6" t="str">
        <f>Fragmento_Custo_DR!G17</f>
        <v>Peppers</v>
      </c>
      <c r="E6" s="8">
        <f>P8</f>
        <v>35</v>
      </c>
      <c r="F6" s="8">
        <f t="shared" si="0"/>
        <v>175</v>
      </c>
      <c r="G6" s="8">
        <v>250</v>
      </c>
      <c r="H6" s="8">
        <f t="shared" si="1"/>
        <v>425</v>
      </c>
      <c r="J6" s="61" t="s">
        <v>12</v>
      </c>
      <c r="K6" s="12">
        <v>2</v>
      </c>
      <c r="L6" s="16">
        <v>3.5</v>
      </c>
      <c r="M6" s="58">
        <v>360</v>
      </c>
      <c r="N6" s="58" t="s">
        <v>18</v>
      </c>
      <c r="P6" s="58">
        <f>M6/8</f>
        <v>45</v>
      </c>
    </row>
    <row r="7" spans="2:16" ht="15" thickBot="1" x14ac:dyDescent="0.25">
      <c r="B7" s="5">
        <v>5</v>
      </c>
      <c r="C7" s="7">
        <f>Fragmento_Custo_DR!L5</f>
        <v>1.5</v>
      </c>
      <c r="D7" t="str">
        <f>Fragmento_Custo_DR!K5</f>
        <v>Sabbath</v>
      </c>
      <c r="E7" s="8">
        <f>P14</f>
        <v>90</v>
      </c>
      <c r="F7" s="8">
        <f t="shared" si="0"/>
        <v>135</v>
      </c>
      <c r="G7" s="8">
        <v>0</v>
      </c>
      <c r="H7" s="8">
        <f t="shared" si="1"/>
        <v>135</v>
      </c>
      <c r="J7" s="62"/>
      <c r="K7" s="14">
        <v>3</v>
      </c>
      <c r="L7" s="18">
        <v>2</v>
      </c>
      <c r="M7" s="59"/>
      <c r="N7" s="59"/>
      <c r="P7" s="59"/>
    </row>
    <row r="8" spans="2:16" x14ac:dyDescent="0.2">
      <c r="B8" s="5">
        <v>6</v>
      </c>
      <c r="C8" s="7">
        <f>Fragmento_Custo_DR!P5</f>
        <v>1</v>
      </c>
      <c r="D8" t="str">
        <f>Fragmento_Custo_DR!O5</f>
        <v>Sabbath</v>
      </c>
      <c r="E8" s="8">
        <f>P14</f>
        <v>90</v>
      </c>
      <c r="F8" s="8">
        <f t="shared" si="0"/>
        <v>90</v>
      </c>
      <c r="G8" s="8">
        <v>1000</v>
      </c>
      <c r="H8" s="8">
        <f t="shared" si="1"/>
        <v>1090</v>
      </c>
      <c r="J8" s="61" t="s">
        <v>13</v>
      </c>
      <c r="K8" s="12">
        <v>3</v>
      </c>
      <c r="L8" s="16">
        <v>2.5</v>
      </c>
      <c r="M8" s="58">
        <v>8400</v>
      </c>
      <c r="N8" s="58" t="s">
        <v>27</v>
      </c>
      <c r="P8" s="58">
        <f>M8/30/8</f>
        <v>35</v>
      </c>
    </row>
    <row r="9" spans="2:16" ht="15" thickBot="1" x14ac:dyDescent="0.25">
      <c r="B9" s="5">
        <v>7</v>
      </c>
      <c r="C9" s="7">
        <f>Fragmento_Custo_DR!P11</f>
        <v>3</v>
      </c>
      <c r="D9" t="str">
        <f>Fragmento_Custo_DR!O11</f>
        <v>Megadeth</v>
      </c>
      <c r="E9" s="8">
        <f>P17</f>
        <v>50</v>
      </c>
      <c r="F9" s="8">
        <f t="shared" si="0"/>
        <v>150</v>
      </c>
      <c r="G9" s="8">
        <v>390</v>
      </c>
      <c r="H9" s="8">
        <f>G9+F9</f>
        <v>540</v>
      </c>
      <c r="J9" s="62"/>
      <c r="K9" s="14">
        <v>4</v>
      </c>
      <c r="L9" s="18">
        <v>5</v>
      </c>
      <c r="M9" s="59"/>
      <c r="N9" s="59"/>
      <c r="P9" s="59"/>
    </row>
    <row r="10" spans="2:16" x14ac:dyDescent="0.2">
      <c r="B10" s="77" t="s">
        <v>38</v>
      </c>
      <c r="C10" s="77"/>
      <c r="D10" s="77"/>
      <c r="E10" s="77"/>
      <c r="F10" s="77"/>
      <c r="G10" s="77"/>
      <c r="H10" s="25">
        <f>SUM(H3:H9)</f>
        <v>3617.5</v>
      </c>
      <c r="J10" s="61" t="s">
        <v>14</v>
      </c>
      <c r="K10" s="12">
        <v>1</v>
      </c>
      <c r="L10" s="16">
        <v>2</v>
      </c>
      <c r="M10" s="58">
        <v>55</v>
      </c>
      <c r="N10" s="58" t="s">
        <v>25</v>
      </c>
      <c r="P10" s="58">
        <f>M10</f>
        <v>55</v>
      </c>
    </row>
    <row r="11" spans="2:16" ht="15" thickBot="1" x14ac:dyDescent="0.25">
      <c r="J11" s="62"/>
      <c r="K11" s="14">
        <v>3</v>
      </c>
      <c r="L11" s="18">
        <v>1.5</v>
      </c>
      <c r="M11" s="59"/>
      <c r="N11" s="59"/>
      <c r="P11" s="59"/>
    </row>
    <row r="12" spans="2:16" x14ac:dyDescent="0.2">
      <c r="H12" s="8"/>
      <c r="J12" s="61" t="s">
        <v>7</v>
      </c>
      <c r="K12" s="12">
        <v>1</v>
      </c>
      <c r="L12" s="16">
        <v>1</v>
      </c>
      <c r="M12" s="58">
        <v>4200</v>
      </c>
      <c r="N12" s="58" t="s">
        <v>28</v>
      </c>
      <c r="P12" s="58">
        <f>M12/7/8</f>
        <v>75</v>
      </c>
    </row>
    <row r="13" spans="2:16" ht="15" thickBot="1" x14ac:dyDescent="0.25">
      <c r="H13" s="8"/>
      <c r="J13" s="62"/>
      <c r="K13" s="14">
        <v>4</v>
      </c>
      <c r="L13" s="18">
        <v>3</v>
      </c>
      <c r="M13" s="59"/>
      <c r="N13" s="59"/>
      <c r="P13" s="59"/>
    </row>
    <row r="14" spans="2:16" x14ac:dyDescent="0.2">
      <c r="H14" s="8"/>
      <c r="J14" s="61" t="s">
        <v>15</v>
      </c>
      <c r="K14" s="12">
        <v>5</v>
      </c>
      <c r="L14" s="16">
        <v>1.5</v>
      </c>
      <c r="M14" s="58">
        <v>720</v>
      </c>
      <c r="N14" s="58" t="s">
        <v>18</v>
      </c>
      <c r="P14" s="58">
        <f>M14/8</f>
        <v>90</v>
      </c>
    </row>
    <row r="15" spans="2:16" ht="15" thickBot="1" x14ac:dyDescent="0.25">
      <c r="J15" s="62"/>
      <c r="K15" s="14">
        <v>6</v>
      </c>
      <c r="L15" s="18">
        <v>1</v>
      </c>
      <c r="M15" s="59"/>
      <c r="N15" s="59"/>
      <c r="P15" s="59"/>
    </row>
    <row r="16" spans="2:16" ht="15" thickBot="1" x14ac:dyDescent="0.25">
      <c r="J16" s="11" t="s">
        <v>8</v>
      </c>
      <c r="K16" s="11">
        <v>2</v>
      </c>
      <c r="L16" s="19">
        <v>1.5</v>
      </c>
      <c r="M16" s="21">
        <v>80</v>
      </c>
      <c r="N16" s="24" t="s">
        <v>25</v>
      </c>
      <c r="P16" s="24">
        <f>M16</f>
        <v>80</v>
      </c>
    </row>
    <row r="17" spans="10:16" x14ac:dyDescent="0.2">
      <c r="J17" s="61" t="s">
        <v>9</v>
      </c>
      <c r="K17" s="12">
        <v>6</v>
      </c>
      <c r="L17" s="16">
        <v>2</v>
      </c>
      <c r="M17" s="58">
        <v>6000</v>
      </c>
      <c r="N17" s="58" t="s">
        <v>29</v>
      </c>
      <c r="P17" s="58">
        <f>M17/15/8</f>
        <v>50</v>
      </c>
    </row>
    <row r="18" spans="10:16" ht="15" thickBot="1" x14ac:dyDescent="0.25">
      <c r="J18" s="62"/>
      <c r="K18" s="14">
        <v>7</v>
      </c>
      <c r="L18" s="18">
        <v>3</v>
      </c>
      <c r="M18" s="59"/>
      <c r="N18" s="59"/>
      <c r="P18" s="59"/>
    </row>
    <row r="19" spans="10:16" x14ac:dyDescent="0.2">
      <c r="J19" s="63" t="s">
        <v>16</v>
      </c>
      <c r="K19" s="15">
        <v>1</v>
      </c>
      <c r="L19" s="20">
        <v>3</v>
      </c>
      <c r="M19" s="58">
        <v>320</v>
      </c>
      <c r="N19" s="58" t="s">
        <v>18</v>
      </c>
      <c r="P19" s="58">
        <f>M19/8</f>
        <v>40</v>
      </c>
    </row>
    <row r="20" spans="10:16" x14ac:dyDescent="0.2">
      <c r="J20" s="64"/>
      <c r="K20" s="13">
        <v>4</v>
      </c>
      <c r="L20" s="17">
        <v>4.5</v>
      </c>
      <c r="M20" s="60"/>
      <c r="N20" s="60"/>
      <c r="P20" s="60"/>
    </row>
    <row r="21" spans="10:16" ht="15" thickBot="1" x14ac:dyDescent="0.25">
      <c r="J21" s="62"/>
      <c r="K21" s="14">
        <v>7</v>
      </c>
      <c r="L21" s="18">
        <v>4</v>
      </c>
      <c r="M21" s="59"/>
      <c r="N21" s="59"/>
      <c r="P21" s="59"/>
    </row>
    <row r="22" spans="10:16" x14ac:dyDescent="0.2">
      <c r="K22" s="5"/>
    </row>
    <row r="23" spans="10:16" ht="15" thickBot="1" x14ac:dyDescent="0.25">
      <c r="K23" s="5"/>
    </row>
    <row r="24" spans="10:16" ht="15" thickBot="1" x14ac:dyDescent="0.25">
      <c r="J24" s="9" t="s">
        <v>23</v>
      </c>
      <c r="K24" s="23" t="s">
        <v>26</v>
      </c>
    </row>
    <row r="25" spans="10:16" x14ac:dyDescent="0.2">
      <c r="J25" s="10" t="s">
        <v>19</v>
      </c>
      <c r="K25" s="22" t="s">
        <v>25</v>
      </c>
    </row>
    <row r="26" spans="10:16" x14ac:dyDescent="0.2">
      <c r="J26" s="1" t="s">
        <v>20</v>
      </c>
      <c r="K26" s="2" t="s">
        <v>18</v>
      </c>
    </row>
    <row r="27" spans="10:16" x14ac:dyDescent="0.2">
      <c r="J27" s="1" t="s">
        <v>21</v>
      </c>
      <c r="K27" s="2" t="s">
        <v>18</v>
      </c>
    </row>
    <row r="28" spans="10:16" ht="15" thickBot="1" x14ac:dyDescent="0.25">
      <c r="J28" s="3" t="s">
        <v>22</v>
      </c>
      <c r="K28" s="4" t="s">
        <v>18</v>
      </c>
    </row>
  </sheetData>
  <mergeCells count="33">
    <mergeCell ref="J19:J21"/>
    <mergeCell ref="M19:M21"/>
    <mergeCell ref="N19:N21"/>
    <mergeCell ref="P19:P21"/>
    <mergeCell ref="J14:J15"/>
    <mergeCell ref="M14:M15"/>
    <mergeCell ref="N14:N15"/>
    <mergeCell ref="P14:P15"/>
    <mergeCell ref="J17:J18"/>
    <mergeCell ref="M17:M18"/>
    <mergeCell ref="N17:N18"/>
    <mergeCell ref="P17:P18"/>
    <mergeCell ref="P10:P11"/>
    <mergeCell ref="J12:J13"/>
    <mergeCell ref="M12:M13"/>
    <mergeCell ref="N12:N13"/>
    <mergeCell ref="P12:P13"/>
    <mergeCell ref="B10:G10"/>
    <mergeCell ref="J3:J5"/>
    <mergeCell ref="M3:M5"/>
    <mergeCell ref="N3:N5"/>
    <mergeCell ref="P3:P5"/>
    <mergeCell ref="J6:J7"/>
    <mergeCell ref="M6:M7"/>
    <mergeCell ref="N6:N7"/>
    <mergeCell ref="P6:P7"/>
    <mergeCell ref="J8:J9"/>
    <mergeCell ref="M8:M9"/>
    <mergeCell ref="N8:N9"/>
    <mergeCell ref="P8:P9"/>
    <mergeCell ref="J10:J11"/>
    <mergeCell ref="M10:M11"/>
    <mergeCell ref="N10:N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33"/>
  <sheetViews>
    <sheetView tabSelected="1" topLeftCell="B1" zoomScale="75" zoomScaleNormal="75" workbookViewId="0">
      <selection activeCell="C30" sqref="C30"/>
    </sheetView>
  </sheetViews>
  <sheetFormatPr defaultRowHeight="14.25" x14ac:dyDescent="0.2"/>
  <cols>
    <col min="1" max="1" width="3.21875" customWidth="1"/>
    <col min="2" max="2" width="2.44140625" customWidth="1"/>
    <col min="4" max="4" width="4.109375" customWidth="1"/>
    <col min="5" max="5" width="2.33203125" customWidth="1"/>
    <col min="6" max="6" width="3.6640625" bestFit="1" customWidth="1"/>
    <col min="8" max="8" width="4.109375" customWidth="1"/>
    <col min="9" max="9" width="2.5546875" customWidth="1"/>
    <col min="10" max="10" width="3.6640625" bestFit="1" customWidth="1"/>
    <col min="11" max="11" width="10.109375" customWidth="1"/>
    <col min="12" max="12" width="4.5546875" customWidth="1"/>
    <col min="13" max="13" width="2.5546875" customWidth="1"/>
    <col min="14" max="14" width="3.6640625" bestFit="1" customWidth="1"/>
    <col min="16" max="16" width="4.88671875" customWidth="1"/>
    <col min="17" max="17" width="2.109375" customWidth="1"/>
    <col min="18" max="18" width="2.33203125" customWidth="1"/>
    <col min="19" max="19" width="11.109375" bestFit="1" customWidth="1"/>
    <col min="20" max="20" width="16.77734375" style="5" bestFit="1" customWidth="1"/>
    <col min="21" max="21" width="15.6640625" bestFit="1" customWidth="1"/>
    <col min="22" max="22" width="12" bestFit="1" customWidth="1"/>
    <col min="23" max="23" width="9.77734375" bestFit="1" customWidth="1"/>
    <col min="24" max="24" width="2.33203125" customWidth="1"/>
    <col min="25" max="25" width="10.21875" bestFit="1" customWidth="1"/>
    <col min="26" max="26" width="2.5546875" customWidth="1"/>
    <col min="28" max="28" width="9.44140625" bestFit="1" customWidth="1"/>
    <col min="29" max="29" width="9" bestFit="1" customWidth="1"/>
    <col min="30" max="30" width="10.5546875" customWidth="1"/>
  </cols>
  <sheetData>
    <row r="1" spans="2:30" ht="15" thickBot="1" x14ac:dyDescent="0.25"/>
    <row r="2" spans="2:30" ht="15" thickBot="1" x14ac:dyDescent="0.25">
      <c r="B2" s="42">
        <v>0</v>
      </c>
      <c r="C2" s="43" t="s">
        <v>55</v>
      </c>
      <c r="D2" s="44">
        <f>B2+D5</f>
        <v>1</v>
      </c>
      <c r="F2" s="49">
        <f>D2</f>
        <v>1</v>
      </c>
      <c r="G2" s="50" t="str">
        <f>F2+1&amp;"-"&amp;H2</f>
        <v>2-2,5</v>
      </c>
      <c r="H2" s="51">
        <f>F2+H5</f>
        <v>2.5</v>
      </c>
      <c r="J2" s="48">
        <f>H14</f>
        <v>4</v>
      </c>
      <c r="K2" s="43" t="str">
        <f>J2+1&amp;"-"&amp;L2</f>
        <v>5-5,5</v>
      </c>
      <c r="L2" s="44">
        <f>J2+L5</f>
        <v>5.5</v>
      </c>
      <c r="N2" s="49">
        <f>L2</f>
        <v>5.5</v>
      </c>
      <c r="O2" s="50" t="str">
        <f>N2+1&amp;"-"&amp;P2</f>
        <v>6,5-6,5</v>
      </c>
      <c r="P2" s="51">
        <f>N2+P5</f>
        <v>6.5</v>
      </c>
      <c r="S2" s="11" t="s">
        <v>10</v>
      </c>
      <c r="T2" s="11" t="s">
        <v>35</v>
      </c>
      <c r="U2" s="11" t="s">
        <v>17</v>
      </c>
      <c r="V2" s="11" t="s">
        <v>23</v>
      </c>
      <c r="W2" s="11" t="s">
        <v>24</v>
      </c>
      <c r="Y2" s="11" t="s">
        <v>37</v>
      </c>
      <c r="AA2" s="27" t="s">
        <v>53</v>
      </c>
      <c r="AB2" t="s">
        <v>58</v>
      </c>
      <c r="AC2" s="41" t="s">
        <v>59</v>
      </c>
      <c r="AD2" s="26" t="s">
        <v>54</v>
      </c>
    </row>
    <row r="3" spans="2:30" x14ac:dyDescent="0.2">
      <c r="B3" s="71" t="s">
        <v>0</v>
      </c>
      <c r="C3" s="72"/>
      <c r="D3" s="73"/>
      <c r="F3" s="65" t="s">
        <v>1</v>
      </c>
      <c r="G3" s="66"/>
      <c r="H3" s="67"/>
      <c r="J3" s="71" t="s">
        <v>4</v>
      </c>
      <c r="K3" s="72"/>
      <c r="L3" s="73"/>
      <c r="N3" s="65" t="s">
        <v>5</v>
      </c>
      <c r="O3" s="66"/>
      <c r="P3" s="67"/>
      <c r="S3" s="78" t="s">
        <v>11</v>
      </c>
      <c r="T3" s="30">
        <v>1</v>
      </c>
      <c r="U3" s="34">
        <v>1.5</v>
      </c>
      <c r="V3" s="58">
        <v>70</v>
      </c>
      <c r="W3" s="58" t="s">
        <v>25</v>
      </c>
      <c r="Y3" s="58">
        <f>V3</f>
        <v>70</v>
      </c>
      <c r="AA3" t="str">
        <f>S3</f>
        <v>Beatles</v>
      </c>
      <c r="AB3" s="28">
        <f>Y3</f>
        <v>70</v>
      </c>
      <c r="AC3" s="7">
        <f>U3</f>
        <v>1.5</v>
      </c>
      <c r="AD3" s="40">
        <f>AC3*AB3</f>
        <v>105</v>
      </c>
    </row>
    <row r="4" spans="2:30" x14ac:dyDescent="0.2">
      <c r="B4" s="74"/>
      <c r="C4" s="75"/>
      <c r="D4" s="76"/>
      <c r="F4" s="68"/>
      <c r="G4" s="69"/>
      <c r="H4" s="70"/>
      <c r="J4" s="74"/>
      <c r="K4" s="75"/>
      <c r="L4" s="76"/>
      <c r="N4" s="68"/>
      <c r="O4" s="69"/>
      <c r="P4" s="70"/>
      <c r="S4" s="79"/>
      <c r="T4" s="31">
        <v>5</v>
      </c>
      <c r="U4" s="35">
        <v>2</v>
      </c>
      <c r="V4" s="60"/>
      <c r="W4" s="60"/>
      <c r="Y4" s="60"/>
      <c r="AA4" t="str">
        <f>S10</f>
        <v>Guns</v>
      </c>
      <c r="AB4" s="28">
        <f>Y10</f>
        <v>55</v>
      </c>
      <c r="AC4" s="7">
        <f>U10</f>
        <v>2</v>
      </c>
      <c r="AD4" s="40">
        <f t="shared" ref="AD4:AD6" si="0">AC4*AB4</f>
        <v>110</v>
      </c>
    </row>
    <row r="5" spans="2:30" ht="15" thickBot="1" x14ac:dyDescent="0.25">
      <c r="B5" s="45">
        <v>1</v>
      </c>
      <c r="C5" s="46" t="str">
        <f>AA5</f>
        <v>Nirvana</v>
      </c>
      <c r="D5" s="47">
        <f>AC5</f>
        <v>1</v>
      </c>
      <c r="F5" s="52">
        <v>2</v>
      </c>
      <c r="G5" s="53" t="str">
        <f>AA10</f>
        <v>Queen</v>
      </c>
      <c r="H5" s="54">
        <f>AC10</f>
        <v>1.5</v>
      </c>
      <c r="J5" s="45">
        <v>5</v>
      </c>
      <c r="K5" s="46" t="str">
        <f>AA24</f>
        <v>Sabbath</v>
      </c>
      <c r="L5" s="47">
        <f>AC24</f>
        <v>1.5</v>
      </c>
      <c r="N5" s="52">
        <v>6</v>
      </c>
      <c r="O5" s="53" t="str">
        <f>AA28</f>
        <v>Sabbath</v>
      </c>
      <c r="P5" s="54">
        <f>AC28</f>
        <v>1</v>
      </c>
      <c r="S5" s="80"/>
      <c r="T5" s="32">
        <v>6</v>
      </c>
      <c r="U5" s="33">
        <v>2.5</v>
      </c>
      <c r="V5" s="59"/>
      <c r="W5" s="59"/>
      <c r="Y5" s="59"/>
      <c r="AA5" t="str">
        <f>S12</f>
        <v>Nirvana</v>
      </c>
      <c r="AB5" s="28">
        <f>Y12</f>
        <v>75</v>
      </c>
      <c r="AC5" s="56">
        <f>U12</f>
        <v>1</v>
      </c>
      <c r="AD5" s="40">
        <f t="shared" si="0"/>
        <v>75</v>
      </c>
    </row>
    <row r="6" spans="2:30" x14ac:dyDescent="0.2">
      <c r="S6" s="78" t="s">
        <v>12</v>
      </c>
      <c r="T6" s="36">
        <v>2</v>
      </c>
      <c r="U6" s="34">
        <v>3.5</v>
      </c>
      <c r="V6" s="58">
        <v>360</v>
      </c>
      <c r="W6" s="58" t="s">
        <v>18</v>
      </c>
      <c r="Y6" s="58">
        <f>V6/8</f>
        <v>45</v>
      </c>
      <c r="AA6" t="str">
        <f>S19</f>
        <v>Maiden</v>
      </c>
      <c r="AB6" s="28">
        <f>Y19</f>
        <v>40</v>
      </c>
      <c r="AC6" s="7">
        <f>U19</f>
        <v>3</v>
      </c>
      <c r="AD6" s="40">
        <f t="shared" si="0"/>
        <v>120</v>
      </c>
    </row>
    <row r="7" spans="2:30" ht="15" thickBot="1" x14ac:dyDescent="0.25">
      <c r="S7" s="80"/>
      <c r="T7" s="32">
        <v>3</v>
      </c>
      <c r="U7" s="33">
        <v>2</v>
      </c>
      <c r="V7" s="59"/>
      <c r="W7" s="59"/>
      <c r="Y7" s="59"/>
      <c r="AD7" s="55"/>
    </row>
    <row r="8" spans="2:30" x14ac:dyDescent="0.2">
      <c r="F8" s="49">
        <f>D2</f>
        <v>1</v>
      </c>
      <c r="G8" s="50" t="str">
        <f>F8+1&amp;"-"&amp;H8</f>
        <v>2-2,5</v>
      </c>
      <c r="H8" s="51">
        <f>F8+H11</f>
        <v>2.5</v>
      </c>
      <c r="N8" s="48">
        <f>L2</f>
        <v>5.5</v>
      </c>
      <c r="O8" s="43" t="str">
        <f>N8+1&amp;"-"&amp;P8</f>
        <v>6,5-8,5</v>
      </c>
      <c r="P8" s="44">
        <f>N8+P11</f>
        <v>8.5</v>
      </c>
      <c r="S8" s="78" t="s">
        <v>13</v>
      </c>
      <c r="T8" s="36">
        <v>3</v>
      </c>
      <c r="U8" s="34">
        <v>2.5</v>
      </c>
      <c r="V8" s="58">
        <v>8400</v>
      </c>
      <c r="W8" s="58" t="s">
        <v>27</v>
      </c>
      <c r="Y8" s="58">
        <f>V8/30/8</f>
        <v>35</v>
      </c>
      <c r="AA8" t="s">
        <v>56</v>
      </c>
      <c r="AD8" s="55"/>
    </row>
    <row r="9" spans="2:30" ht="15" thickBot="1" x14ac:dyDescent="0.25">
      <c r="F9" s="65" t="s">
        <v>2</v>
      </c>
      <c r="G9" s="66"/>
      <c r="H9" s="67"/>
      <c r="N9" s="71" t="s">
        <v>6</v>
      </c>
      <c r="O9" s="72"/>
      <c r="P9" s="73"/>
      <c r="S9" s="80"/>
      <c r="T9" s="32">
        <v>4</v>
      </c>
      <c r="U9" s="33">
        <v>5</v>
      </c>
      <c r="V9" s="59"/>
      <c r="W9" s="59"/>
      <c r="Y9" s="59"/>
      <c r="AA9" t="str">
        <f>S6</f>
        <v>Foo</v>
      </c>
      <c r="AB9" s="28">
        <f>Y6</f>
        <v>45</v>
      </c>
      <c r="AC9" s="7">
        <f>U6</f>
        <v>3.5</v>
      </c>
      <c r="AD9" s="40">
        <f>AB9*AC9</f>
        <v>157.5</v>
      </c>
    </row>
    <row r="10" spans="2:30" x14ac:dyDescent="0.2">
      <c r="F10" s="68"/>
      <c r="G10" s="69"/>
      <c r="H10" s="70"/>
      <c r="N10" s="74"/>
      <c r="O10" s="75"/>
      <c r="P10" s="76"/>
      <c r="S10" s="78" t="s">
        <v>14</v>
      </c>
      <c r="T10" s="30">
        <v>1</v>
      </c>
      <c r="U10" s="34">
        <v>2</v>
      </c>
      <c r="V10" s="58">
        <v>55</v>
      </c>
      <c r="W10" s="58" t="s">
        <v>25</v>
      </c>
      <c r="Y10" s="58">
        <f>V10</f>
        <v>55</v>
      </c>
      <c r="AA10" t="str">
        <f>S16</f>
        <v>Queen</v>
      </c>
      <c r="AB10" s="28">
        <f>Y16</f>
        <v>80</v>
      </c>
      <c r="AC10" s="56">
        <f>U16</f>
        <v>1.5</v>
      </c>
      <c r="AD10" s="40">
        <f>AB10*AC10</f>
        <v>120</v>
      </c>
    </row>
    <row r="11" spans="2:30" ht="15" thickBot="1" x14ac:dyDescent="0.25">
      <c r="F11" s="52">
        <v>3</v>
      </c>
      <c r="G11" s="53" t="str">
        <f>AA15</f>
        <v>Guns</v>
      </c>
      <c r="H11" s="54">
        <f>AC15</f>
        <v>1.5</v>
      </c>
      <c r="N11" s="45">
        <v>7</v>
      </c>
      <c r="O11" s="46" t="str">
        <f>AA32</f>
        <v>Megadeth</v>
      </c>
      <c r="P11" s="47">
        <f>AC32</f>
        <v>3</v>
      </c>
      <c r="S11" s="80"/>
      <c r="T11" s="32">
        <v>3</v>
      </c>
      <c r="U11" s="33">
        <v>1.5</v>
      </c>
      <c r="V11" s="59"/>
      <c r="W11" s="59"/>
      <c r="Y11" s="59"/>
      <c r="AD11" s="55"/>
    </row>
    <row r="12" spans="2:30" x14ac:dyDescent="0.2">
      <c r="S12" s="78" t="s">
        <v>7</v>
      </c>
      <c r="T12" s="30">
        <v>1</v>
      </c>
      <c r="U12" s="34">
        <v>1</v>
      </c>
      <c r="V12" s="58">
        <v>4200</v>
      </c>
      <c r="W12" s="58" t="s">
        <v>28</v>
      </c>
      <c r="Y12" s="58">
        <f>V12/7/8</f>
        <v>75</v>
      </c>
      <c r="AA12" t="s">
        <v>57</v>
      </c>
      <c r="AD12" s="55"/>
    </row>
    <row r="13" spans="2:30" ht="15" thickBot="1" x14ac:dyDescent="0.25">
      <c r="S13" s="80"/>
      <c r="T13" s="32">
        <v>4</v>
      </c>
      <c r="U13" s="33">
        <v>3</v>
      </c>
      <c r="V13" s="59"/>
      <c r="W13" s="59"/>
      <c r="Y13" s="59"/>
      <c r="AA13" t="str">
        <f>S6</f>
        <v>Foo</v>
      </c>
      <c r="AB13" s="28">
        <f>Y6</f>
        <v>45</v>
      </c>
      <c r="AC13" s="7">
        <f>U7</f>
        <v>2</v>
      </c>
      <c r="AD13" s="40">
        <f>AB13*AC13</f>
        <v>90</v>
      </c>
    </row>
    <row r="14" spans="2:30" x14ac:dyDescent="0.2">
      <c r="F14" s="48">
        <f>D2</f>
        <v>1</v>
      </c>
      <c r="G14" s="43" t="str">
        <f>F14+1&amp;"-"&amp;H14</f>
        <v>2-4</v>
      </c>
      <c r="H14" s="44">
        <f>F14+H17</f>
        <v>4</v>
      </c>
      <c r="J14" s="26"/>
      <c r="K14" s="26"/>
      <c r="L14" s="26"/>
      <c r="N14" s="26"/>
      <c r="O14" s="26"/>
      <c r="P14" s="26"/>
      <c r="S14" s="78" t="s">
        <v>15</v>
      </c>
      <c r="T14" s="36">
        <v>5</v>
      </c>
      <c r="U14" s="34">
        <v>1.5</v>
      </c>
      <c r="V14" s="58">
        <v>720</v>
      </c>
      <c r="W14" s="58" t="s">
        <v>18</v>
      </c>
      <c r="Y14" s="58">
        <f>V14/8</f>
        <v>90</v>
      </c>
      <c r="AA14" t="str">
        <f>S8</f>
        <v>Peppers</v>
      </c>
      <c r="AB14" s="28">
        <f>Y8</f>
        <v>35</v>
      </c>
      <c r="AC14" s="7">
        <f>U8</f>
        <v>2.5</v>
      </c>
      <c r="AD14" s="40">
        <f t="shared" ref="AD14:AD15" si="1">AB14*AC14</f>
        <v>87.5</v>
      </c>
    </row>
    <row r="15" spans="2:30" ht="15" thickBot="1" x14ac:dyDescent="0.25">
      <c r="F15" s="71" t="s">
        <v>3</v>
      </c>
      <c r="G15" s="72"/>
      <c r="H15" s="73"/>
      <c r="J15" s="6"/>
      <c r="K15" s="6"/>
      <c r="L15" s="6"/>
      <c r="N15" s="6"/>
      <c r="O15" s="6"/>
      <c r="P15" s="6"/>
      <c r="S15" s="80"/>
      <c r="T15" s="32">
        <v>6</v>
      </c>
      <c r="U15" s="33">
        <v>1</v>
      </c>
      <c r="V15" s="59"/>
      <c r="W15" s="59"/>
      <c r="Y15" s="59"/>
      <c r="AA15" t="str">
        <f>S10</f>
        <v>Guns</v>
      </c>
      <c r="AB15" s="28">
        <f>Y10</f>
        <v>55</v>
      </c>
      <c r="AC15" s="56">
        <f>U11</f>
        <v>1.5</v>
      </c>
      <c r="AD15" s="40">
        <f t="shared" si="1"/>
        <v>82.5</v>
      </c>
    </row>
    <row r="16" spans="2:30" ht="15" thickBot="1" x14ac:dyDescent="0.25">
      <c r="F16" s="74"/>
      <c r="G16" s="75"/>
      <c r="H16" s="76"/>
      <c r="J16" s="6"/>
      <c r="K16" s="6"/>
      <c r="L16" s="6"/>
      <c r="N16" s="6"/>
      <c r="O16" s="6"/>
      <c r="P16" s="6"/>
      <c r="S16" s="11" t="s">
        <v>8</v>
      </c>
      <c r="T16" s="11">
        <v>2</v>
      </c>
      <c r="U16" s="19">
        <v>1.5</v>
      </c>
      <c r="V16" s="21">
        <v>80</v>
      </c>
      <c r="W16" s="24" t="s">
        <v>25</v>
      </c>
      <c r="Y16" s="24">
        <f>V16</f>
        <v>80</v>
      </c>
      <c r="AD16" s="55"/>
    </row>
    <row r="17" spans="3:30" ht="15" thickBot="1" x14ac:dyDescent="0.25">
      <c r="F17" s="45">
        <v>4</v>
      </c>
      <c r="G17" s="46" t="str">
        <f>AA19</f>
        <v>Nirvana</v>
      </c>
      <c r="H17" s="47">
        <f>AC19</f>
        <v>3</v>
      </c>
      <c r="J17" s="26"/>
      <c r="K17" s="26"/>
      <c r="L17" s="26"/>
      <c r="N17" s="26"/>
      <c r="O17" s="26"/>
      <c r="P17" s="26"/>
      <c r="S17" s="78" t="s">
        <v>9</v>
      </c>
      <c r="T17" s="36">
        <v>6</v>
      </c>
      <c r="U17" s="34">
        <v>2</v>
      </c>
      <c r="V17" s="58">
        <v>6000</v>
      </c>
      <c r="W17" s="58" t="s">
        <v>29</v>
      </c>
      <c r="Y17" s="58">
        <f>V17/15/8</f>
        <v>50</v>
      </c>
      <c r="AA17" t="s">
        <v>60</v>
      </c>
      <c r="AD17" s="55"/>
    </row>
    <row r="18" spans="3:30" ht="15" thickBot="1" x14ac:dyDescent="0.25">
      <c r="S18" s="80"/>
      <c r="T18" s="32">
        <v>7</v>
      </c>
      <c r="U18" s="33">
        <v>3</v>
      </c>
      <c r="V18" s="59"/>
      <c r="W18" s="59"/>
      <c r="Y18" s="59"/>
      <c r="AA18" t="str">
        <f>S8</f>
        <v>Peppers</v>
      </c>
      <c r="AB18" s="28">
        <f>Y8</f>
        <v>35</v>
      </c>
      <c r="AC18" s="81">
        <f>U9</f>
        <v>5</v>
      </c>
      <c r="AD18" s="40">
        <f>AB18*AC18</f>
        <v>175</v>
      </c>
    </row>
    <row r="19" spans="3:30" x14ac:dyDescent="0.2">
      <c r="C19" t="s">
        <v>36</v>
      </c>
      <c r="I19" s="57" t="s">
        <v>64</v>
      </c>
      <c r="J19" s="57"/>
      <c r="K19" s="57"/>
      <c r="L19">
        <v>4</v>
      </c>
      <c r="S19" s="78" t="s">
        <v>16</v>
      </c>
      <c r="T19" s="37">
        <v>1</v>
      </c>
      <c r="U19" s="39">
        <v>3</v>
      </c>
      <c r="V19" s="58">
        <v>320</v>
      </c>
      <c r="W19" s="58" t="s">
        <v>18</v>
      </c>
      <c r="Y19" s="58">
        <f>V19/8</f>
        <v>40</v>
      </c>
      <c r="AA19" t="str">
        <f>S12</f>
        <v>Nirvana</v>
      </c>
      <c r="AB19" s="28">
        <f>Y12</f>
        <v>75</v>
      </c>
      <c r="AC19" s="56">
        <f>U13</f>
        <v>3</v>
      </c>
      <c r="AD19" s="40">
        <f t="shared" ref="AD19:AD20" si="2">AB19*AC19</f>
        <v>225</v>
      </c>
    </row>
    <row r="20" spans="3:30" x14ac:dyDescent="0.2">
      <c r="C20" t="s">
        <v>52</v>
      </c>
      <c r="I20" s="57" t="s">
        <v>67</v>
      </c>
      <c r="J20" s="57"/>
      <c r="K20" s="57"/>
      <c r="L20">
        <v>3</v>
      </c>
      <c r="S20" s="79"/>
      <c r="T20" s="31">
        <v>4</v>
      </c>
      <c r="U20" s="35">
        <v>4.5</v>
      </c>
      <c r="V20" s="60"/>
      <c r="W20" s="60"/>
      <c r="Y20" s="60"/>
      <c r="AA20" t="str">
        <f>S19</f>
        <v>Maiden</v>
      </c>
      <c r="AB20" s="28">
        <f>Y19</f>
        <v>40</v>
      </c>
      <c r="AC20" s="7">
        <f>U20</f>
        <v>4.5</v>
      </c>
      <c r="AD20" s="40">
        <f t="shared" si="2"/>
        <v>180</v>
      </c>
    </row>
    <row r="21" spans="3:30" ht="15" thickBot="1" x14ac:dyDescent="0.25">
      <c r="C21" t="s">
        <v>48</v>
      </c>
      <c r="I21" s="83">
        <f>L19/7</f>
        <v>0.5714285714285714</v>
      </c>
      <c r="J21" s="83"/>
      <c r="K21" s="83"/>
      <c r="S21" s="80"/>
      <c r="T21" s="32">
        <v>7</v>
      </c>
      <c r="U21" s="38">
        <v>4</v>
      </c>
      <c r="V21" s="59"/>
      <c r="W21" s="59"/>
      <c r="Y21" s="59"/>
      <c r="AD21" s="55"/>
    </row>
    <row r="22" spans="3:30" x14ac:dyDescent="0.2">
      <c r="AA22" t="s">
        <v>61</v>
      </c>
      <c r="AD22" s="55"/>
    </row>
    <row r="23" spans="3:30" ht="15" thickBot="1" x14ac:dyDescent="0.25">
      <c r="C23" t="s">
        <v>46</v>
      </c>
      <c r="L23" s="7" t="str">
        <f>P8&amp;" horas"</f>
        <v>8,5 horas</v>
      </c>
      <c r="AA23" t="str">
        <f>S3</f>
        <v>Beatles</v>
      </c>
      <c r="AB23" s="28">
        <f>Y3</f>
        <v>70</v>
      </c>
      <c r="AC23" s="7">
        <f>U4</f>
        <v>2</v>
      </c>
      <c r="AD23" s="40">
        <f>AB23*AC23</f>
        <v>140</v>
      </c>
    </row>
    <row r="24" spans="3:30" ht="15" thickBot="1" x14ac:dyDescent="0.25">
      <c r="S24" s="9" t="s">
        <v>23</v>
      </c>
      <c r="T24" s="23" t="s">
        <v>26</v>
      </c>
      <c r="AA24" t="str">
        <f>S14</f>
        <v>Sabbath</v>
      </c>
      <c r="AB24" s="28">
        <f>Y14</f>
        <v>90</v>
      </c>
      <c r="AC24" s="56">
        <f>U14</f>
        <v>1.5</v>
      </c>
      <c r="AD24" s="40">
        <f>AB24*AC24</f>
        <v>135</v>
      </c>
    </row>
    <row r="25" spans="3:30" x14ac:dyDescent="0.2">
      <c r="C25" t="s">
        <v>49</v>
      </c>
      <c r="L25" s="82">
        <f>P8/8</f>
        <v>1.0625</v>
      </c>
      <c r="M25" t="s">
        <v>65</v>
      </c>
      <c r="S25" s="10" t="s">
        <v>19</v>
      </c>
      <c r="T25" s="22" t="s">
        <v>25</v>
      </c>
      <c r="AD25" s="55"/>
    </row>
    <row r="26" spans="3:30" x14ac:dyDescent="0.2">
      <c r="S26" s="1" t="s">
        <v>20</v>
      </c>
      <c r="T26" s="2" t="s">
        <v>18</v>
      </c>
      <c r="AA26" t="s">
        <v>62</v>
      </c>
      <c r="AD26" s="55"/>
    </row>
    <row r="27" spans="3:30" x14ac:dyDescent="0.2">
      <c r="C27" t="s">
        <v>47</v>
      </c>
      <c r="S27" s="1" t="s">
        <v>21</v>
      </c>
      <c r="T27" s="2" t="s">
        <v>18</v>
      </c>
      <c r="AA27" t="str">
        <f>S3</f>
        <v>Beatles</v>
      </c>
      <c r="AB27" s="28">
        <f>Y3</f>
        <v>70</v>
      </c>
      <c r="AC27" s="7">
        <f>U5</f>
        <v>2.5</v>
      </c>
      <c r="AD27" s="40">
        <f>AB27*AC27</f>
        <v>175</v>
      </c>
    </row>
    <row r="28" spans="3:30" ht="15" thickBot="1" x14ac:dyDescent="0.25">
      <c r="C28" t="s">
        <v>69</v>
      </c>
      <c r="S28" s="3" t="s">
        <v>22</v>
      </c>
      <c r="T28" s="4" t="s">
        <v>18</v>
      </c>
      <c r="AA28" t="str">
        <f>S14</f>
        <v>Sabbath</v>
      </c>
      <c r="AB28" s="28">
        <f>Y14</f>
        <v>90</v>
      </c>
      <c r="AC28" s="56">
        <f>U15</f>
        <v>1</v>
      </c>
      <c r="AD28" s="40">
        <f>AB28*AC28</f>
        <v>90</v>
      </c>
    </row>
    <row r="29" spans="3:30" x14ac:dyDescent="0.2">
      <c r="C29" t="s">
        <v>70</v>
      </c>
      <c r="AA29" t="str">
        <f>S17</f>
        <v>Megadeth</v>
      </c>
      <c r="AB29" s="28">
        <f>Y17</f>
        <v>50</v>
      </c>
      <c r="AC29" s="7">
        <f>U17</f>
        <v>2</v>
      </c>
      <c r="AD29" s="40">
        <f>AB29*AC29</f>
        <v>100</v>
      </c>
    </row>
    <row r="30" spans="3:30" x14ac:dyDescent="0.2">
      <c r="AD30" s="55"/>
    </row>
    <row r="31" spans="3:30" x14ac:dyDescent="0.2">
      <c r="C31" t="s">
        <v>50</v>
      </c>
      <c r="AA31" t="s">
        <v>63</v>
      </c>
      <c r="AD31" s="55"/>
    </row>
    <row r="32" spans="3:30" x14ac:dyDescent="0.2">
      <c r="AA32" t="str">
        <f>S17</f>
        <v>Megadeth</v>
      </c>
      <c r="AB32" s="28">
        <f>Y17</f>
        <v>50</v>
      </c>
      <c r="AC32" s="56">
        <f>U18</f>
        <v>3</v>
      </c>
      <c r="AD32" s="40">
        <f>AB32*AC32</f>
        <v>150</v>
      </c>
    </row>
    <row r="33" spans="27:30" x14ac:dyDescent="0.2">
      <c r="AA33" t="str">
        <f>S19</f>
        <v>Maiden</v>
      </c>
      <c r="AB33" s="28">
        <f>Y19</f>
        <v>40</v>
      </c>
      <c r="AC33" s="7">
        <f>U21</f>
        <v>4</v>
      </c>
      <c r="AD33" s="40">
        <f>AB33*AC33</f>
        <v>160</v>
      </c>
    </row>
  </sheetData>
  <mergeCells count="42">
    <mergeCell ref="S19:S21"/>
    <mergeCell ref="V19:V21"/>
    <mergeCell ref="W19:W21"/>
    <mergeCell ref="Y19:Y21"/>
    <mergeCell ref="S12:S13"/>
    <mergeCell ref="V12:V13"/>
    <mergeCell ref="W12:W13"/>
    <mergeCell ref="Y12:Y13"/>
    <mergeCell ref="S14:S15"/>
    <mergeCell ref="V14:V15"/>
    <mergeCell ref="W14:W15"/>
    <mergeCell ref="Y14:Y15"/>
    <mergeCell ref="S17:S18"/>
    <mergeCell ref="V17:V18"/>
    <mergeCell ref="W17:W18"/>
    <mergeCell ref="Y17:Y18"/>
    <mergeCell ref="S8:S9"/>
    <mergeCell ref="V8:V9"/>
    <mergeCell ref="W8:W9"/>
    <mergeCell ref="Y8:Y9"/>
    <mergeCell ref="F9:H10"/>
    <mergeCell ref="N9:P10"/>
    <mergeCell ref="S10:S11"/>
    <mergeCell ref="V10:V11"/>
    <mergeCell ref="W10:W11"/>
    <mergeCell ref="Y10:Y11"/>
    <mergeCell ref="N3:P4"/>
    <mergeCell ref="S3:S5"/>
    <mergeCell ref="W3:W5"/>
    <mergeCell ref="Y3:Y5"/>
    <mergeCell ref="S6:S7"/>
    <mergeCell ref="V6:V7"/>
    <mergeCell ref="W6:W7"/>
    <mergeCell ref="Y6:Y7"/>
    <mergeCell ref="V3:V5"/>
    <mergeCell ref="I19:K19"/>
    <mergeCell ref="I20:K20"/>
    <mergeCell ref="I21:K21"/>
    <mergeCell ref="B3:D4"/>
    <mergeCell ref="F3:H4"/>
    <mergeCell ref="J3:L4"/>
    <mergeCell ref="F15:H16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"/>
  <sheetViews>
    <sheetView zoomScale="80" zoomScaleNormal="80" workbookViewId="0">
      <selection activeCell="F13" sqref="F13"/>
    </sheetView>
  </sheetViews>
  <sheetFormatPr defaultRowHeight="14.25" x14ac:dyDescent="0.2"/>
  <cols>
    <col min="1" max="1" width="2.77734375" customWidth="1"/>
    <col min="2" max="2" width="6.33203125" bestFit="1" customWidth="1"/>
    <col min="3" max="3" width="8" bestFit="1" customWidth="1"/>
    <col min="4" max="5" width="10.109375" customWidth="1"/>
    <col min="6" max="6" width="10.77734375" customWidth="1"/>
    <col min="7" max="7" width="12.44140625" bestFit="1" customWidth="1"/>
    <col min="8" max="8" width="11.5546875" bestFit="1" customWidth="1"/>
    <col min="9" max="9" width="3.21875" customWidth="1"/>
    <col min="10" max="10" width="11.109375" bestFit="1" customWidth="1"/>
    <col min="11" max="11" width="16.77734375" bestFit="1" customWidth="1"/>
    <col min="12" max="12" width="15.6640625" bestFit="1" customWidth="1"/>
    <col min="13" max="13" width="12.21875" bestFit="1" customWidth="1"/>
    <col min="14" max="14" width="9.5546875" bestFit="1" customWidth="1"/>
    <col min="15" max="15" width="3.6640625" customWidth="1"/>
    <col min="16" max="16" width="10.21875" bestFit="1" customWidth="1"/>
  </cols>
  <sheetData>
    <row r="1" spans="1:16" ht="15" thickBot="1" x14ac:dyDescent="0.25"/>
    <row r="2" spans="1:16" ht="15" thickBot="1" x14ac:dyDescent="0.25">
      <c r="A2" s="5"/>
      <c r="B2" s="26" t="s">
        <v>30</v>
      </c>
      <c r="C2" s="26" t="s">
        <v>31</v>
      </c>
      <c r="D2" s="26" t="s">
        <v>32</v>
      </c>
      <c r="E2" s="26" t="s">
        <v>23</v>
      </c>
      <c r="F2" s="26" t="s">
        <v>39</v>
      </c>
      <c r="G2" s="26" t="s">
        <v>34</v>
      </c>
      <c r="H2" s="26" t="s">
        <v>33</v>
      </c>
      <c r="I2" s="26"/>
      <c r="J2" s="11" t="s">
        <v>10</v>
      </c>
      <c r="K2" s="11" t="s">
        <v>35</v>
      </c>
      <c r="L2" s="11" t="s">
        <v>17</v>
      </c>
      <c r="M2" s="11" t="s">
        <v>23</v>
      </c>
      <c r="N2" s="11" t="s">
        <v>24</v>
      </c>
      <c r="P2" s="11" t="s">
        <v>37</v>
      </c>
    </row>
    <row r="3" spans="1:16" x14ac:dyDescent="0.2">
      <c r="B3" s="26">
        <v>1</v>
      </c>
      <c r="C3" s="7">
        <f>Fragmento_Custo_DR!D5</f>
        <v>1</v>
      </c>
      <c r="D3" t="str">
        <f>Fragmento_Custo_DR!C5</f>
        <v>Nirvana</v>
      </c>
      <c r="E3" s="8">
        <f>P12</f>
        <v>75</v>
      </c>
      <c r="F3" s="8">
        <f>E3*C3</f>
        <v>75</v>
      </c>
      <c r="G3" s="8">
        <v>500</v>
      </c>
      <c r="H3" s="8">
        <f>G3+F3</f>
        <v>575</v>
      </c>
      <c r="J3" s="61" t="s">
        <v>11</v>
      </c>
      <c r="K3" s="12">
        <v>1</v>
      </c>
      <c r="L3" s="16">
        <v>1.5</v>
      </c>
      <c r="M3" s="58">
        <v>70</v>
      </c>
      <c r="N3" s="58" t="s">
        <v>25</v>
      </c>
      <c r="P3" s="58">
        <f>M3</f>
        <v>70</v>
      </c>
    </row>
    <row r="4" spans="1:16" x14ac:dyDescent="0.2">
      <c r="B4" s="26">
        <v>2</v>
      </c>
      <c r="C4" s="7">
        <f>Fragmento_Custo_DR!H5</f>
        <v>1.5</v>
      </c>
      <c r="D4" t="str">
        <f>Fragmento_Custo_DR!G5</f>
        <v>Queen</v>
      </c>
      <c r="E4" s="8">
        <f>P16</f>
        <v>80</v>
      </c>
      <c r="F4" s="8">
        <f t="shared" ref="F4:F9" si="0">E4*C4</f>
        <v>120</v>
      </c>
      <c r="G4" s="8">
        <v>0</v>
      </c>
      <c r="H4" s="8">
        <f t="shared" ref="H4:H9" si="1">G4+F4</f>
        <v>120</v>
      </c>
      <c r="J4" s="64"/>
      <c r="K4" s="13">
        <v>5</v>
      </c>
      <c r="L4" s="17">
        <v>2</v>
      </c>
      <c r="M4" s="60"/>
      <c r="N4" s="60"/>
      <c r="P4" s="60"/>
    </row>
    <row r="5" spans="1:16" ht="15" thickBot="1" x14ac:dyDescent="0.25">
      <c r="B5" s="26">
        <v>3</v>
      </c>
      <c r="C5" s="7">
        <f>Fragmento_Custo_DR!H11</f>
        <v>1.5</v>
      </c>
      <c r="D5" t="str">
        <f>Fragmento_Custo_DR!G11</f>
        <v>Guns</v>
      </c>
      <c r="E5" s="8">
        <f>P10</f>
        <v>55</v>
      </c>
      <c r="F5" s="8">
        <f t="shared" si="0"/>
        <v>82.5</v>
      </c>
      <c r="G5" s="8">
        <v>650</v>
      </c>
      <c r="H5" s="8">
        <f t="shared" si="1"/>
        <v>732.5</v>
      </c>
      <c r="J5" s="62"/>
      <c r="K5" s="14">
        <v>6</v>
      </c>
      <c r="L5" s="18">
        <v>2.5</v>
      </c>
      <c r="M5" s="59"/>
      <c r="N5" s="59"/>
      <c r="P5" s="59"/>
    </row>
    <row r="6" spans="1:16" x14ac:dyDescent="0.2">
      <c r="B6" s="26">
        <v>4</v>
      </c>
      <c r="C6" s="7">
        <f>Fragmento_Duração_DR!AC19</f>
        <v>3</v>
      </c>
      <c r="D6" t="str">
        <f>Fragmento_Duração_DR!AA19</f>
        <v>Nirvana</v>
      </c>
      <c r="E6" s="8">
        <f>P12</f>
        <v>75</v>
      </c>
      <c r="F6" s="8">
        <f t="shared" si="0"/>
        <v>225</v>
      </c>
      <c r="G6" s="8">
        <v>250</v>
      </c>
      <c r="H6" s="8">
        <f t="shared" si="1"/>
        <v>475</v>
      </c>
      <c r="J6" s="61" t="s">
        <v>12</v>
      </c>
      <c r="K6" s="12">
        <v>2</v>
      </c>
      <c r="L6" s="16">
        <v>3.5</v>
      </c>
      <c r="M6" s="58">
        <v>360</v>
      </c>
      <c r="N6" s="58" t="s">
        <v>18</v>
      </c>
      <c r="P6" s="58">
        <f>M6/8</f>
        <v>45</v>
      </c>
    </row>
    <row r="7" spans="1:16" ht="15" thickBot="1" x14ac:dyDescent="0.25">
      <c r="B7" s="26">
        <v>5</v>
      </c>
      <c r="C7" s="7">
        <f>Fragmento_Custo_DR!L5</f>
        <v>1.5</v>
      </c>
      <c r="D7" t="str">
        <f>Fragmento_Custo_DR!K5</f>
        <v>Sabbath</v>
      </c>
      <c r="E7" s="8">
        <f>P14</f>
        <v>90</v>
      </c>
      <c r="F7" s="8">
        <f t="shared" si="0"/>
        <v>135</v>
      </c>
      <c r="G7" s="8">
        <v>0</v>
      </c>
      <c r="H7" s="8">
        <f t="shared" si="1"/>
        <v>135</v>
      </c>
      <c r="J7" s="62"/>
      <c r="K7" s="14">
        <v>3</v>
      </c>
      <c r="L7" s="18">
        <v>2</v>
      </c>
      <c r="M7" s="59"/>
      <c r="N7" s="59"/>
      <c r="P7" s="59"/>
    </row>
    <row r="8" spans="1:16" x14ac:dyDescent="0.2">
      <c r="B8" s="26">
        <v>6</v>
      </c>
      <c r="C8" s="7">
        <f>Fragmento_Custo_DR!P5</f>
        <v>1</v>
      </c>
      <c r="D8" t="str">
        <f>Fragmento_Custo_DR!O5</f>
        <v>Sabbath</v>
      </c>
      <c r="E8" s="8">
        <f>P14</f>
        <v>90</v>
      </c>
      <c r="F8" s="8">
        <f t="shared" si="0"/>
        <v>90</v>
      </c>
      <c r="G8" s="8">
        <v>1000</v>
      </c>
      <c r="H8" s="8">
        <f t="shared" si="1"/>
        <v>1090</v>
      </c>
      <c r="J8" s="61" t="s">
        <v>13</v>
      </c>
      <c r="K8" s="12">
        <v>3</v>
      </c>
      <c r="L8" s="16">
        <v>2.5</v>
      </c>
      <c r="M8" s="58">
        <v>8400</v>
      </c>
      <c r="N8" s="58" t="s">
        <v>27</v>
      </c>
      <c r="P8" s="58">
        <f>M8/30/8</f>
        <v>35</v>
      </c>
    </row>
    <row r="9" spans="1:16" ht="15" thickBot="1" x14ac:dyDescent="0.25">
      <c r="B9" s="26">
        <v>7</v>
      </c>
      <c r="C9" s="7">
        <f>Fragmento_Custo_DR!P11</f>
        <v>3</v>
      </c>
      <c r="D9" t="str">
        <f>Fragmento_Custo_DR!O11</f>
        <v>Megadeth</v>
      </c>
      <c r="E9" s="8">
        <f>P17</f>
        <v>50</v>
      </c>
      <c r="F9" s="8">
        <f t="shared" si="0"/>
        <v>150</v>
      </c>
      <c r="G9" s="8">
        <v>390</v>
      </c>
      <c r="H9" s="8">
        <f t="shared" si="1"/>
        <v>540</v>
      </c>
      <c r="J9" s="62"/>
      <c r="K9" s="14">
        <v>4</v>
      </c>
      <c r="L9" s="18">
        <v>5</v>
      </c>
      <c r="M9" s="59"/>
      <c r="N9" s="59"/>
      <c r="P9" s="59"/>
    </row>
    <row r="10" spans="1:16" x14ac:dyDescent="0.2">
      <c r="B10" s="77" t="s">
        <v>38</v>
      </c>
      <c r="C10" s="77"/>
      <c r="D10" s="77"/>
      <c r="E10" s="77"/>
      <c r="F10" s="77"/>
      <c r="G10" s="77"/>
      <c r="H10" s="25">
        <f>SUM(H3:H9)</f>
        <v>3667.5</v>
      </c>
      <c r="J10" s="61" t="s">
        <v>14</v>
      </c>
      <c r="K10" s="12">
        <v>1</v>
      </c>
      <c r="L10" s="16">
        <v>2</v>
      </c>
      <c r="M10" s="58">
        <v>55</v>
      </c>
      <c r="N10" s="58" t="s">
        <v>25</v>
      </c>
      <c r="P10" s="58">
        <f>M10</f>
        <v>55</v>
      </c>
    </row>
    <row r="11" spans="1:16" ht="15" thickBot="1" x14ac:dyDescent="0.25">
      <c r="J11" s="62"/>
      <c r="K11" s="14">
        <v>3</v>
      </c>
      <c r="L11" s="18">
        <v>1.5</v>
      </c>
      <c r="M11" s="59"/>
      <c r="N11" s="59"/>
      <c r="P11" s="59"/>
    </row>
    <row r="12" spans="1:16" x14ac:dyDescent="0.2">
      <c r="H12" s="8"/>
      <c r="J12" s="61" t="s">
        <v>7</v>
      </c>
      <c r="K12" s="12">
        <v>1</v>
      </c>
      <c r="L12" s="16">
        <v>1</v>
      </c>
      <c r="M12" s="58">
        <v>4200</v>
      </c>
      <c r="N12" s="58" t="s">
        <v>28</v>
      </c>
      <c r="P12" s="58">
        <f>M12/7/8</f>
        <v>75</v>
      </c>
    </row>
    <row r="13" spans="1:16" ht="15" thickBot="1" x14ac:dyDescent="0.25">
      <c r="H13" s="8"/>
      <c r="J13" s="62"/>
      <c r="K13" s="14">
        <v>4</v>
      </c>
      <c r="L13" s="18">
        <v>3</v>
      </c>
      <c r="M13" s="59"/>
      <c r="N13" s="59"/>
      <c r="P13" s="59"/>
    </row>
    <row r="14" spans="1:16" x14ac:dyDescent="0.2">
      <c r="H14" s="8"/>
      <c r="J14" s="61" t="s">
        <v>15</v>
      </c>
      <c r="K14" s="12">
        <v>5</v>
      </c>
      <c r="L14" s="16">
        <v>1.5</v>
      </c>
      <c r="M14" s="58">
        <v>720</v>
      </c>
      <c r="N14" s="58" t="s">
        <v>18</v>
      </c>
      <c r="P14" s="58">
        <f>M14/8</f>
        <v>90</v>
      </c>
    </row>
    <row r="15" spans="1:16" ht="15" thickBot="1" x14ac:dyDescent="0.25">
      <c r="J15" s="62"/>
      <c r="K15" s="14">
        <v>6</v>
      </c>
      <c r="L15" s="18">
        <v>1</v>
      </c>
      <c r="M15" s="59"/>
      <c r="N15" s="59"/>
      <c r="P15" s="59"/>
    </row>
    <row r="16" spans="1:16" ht="15" thickBot="1" x14ac:dyDescent="0.25">
      <c r="J16" s="11" t="s">
        <v>8</v>
      </c>
      <c r="K16" s="11">
        <v>2</v>
      </c>
      <c r="L16" s="19">
        <v>1.5</v>
      </c>
      <c r="M16" s="21">
        <v>80</v>
      </c>
      <c r="N16" s="24" t="s">
        <v>25</v>
      </c>
      <c r="P16" s="24">
        <f>M16</f>
        <v>80</v>
      </c>
    </row>
    <row r="17" spans="10:16" x14ac:dyDescent="0.2">
      <c r="J17" s="61" t="s">
        <v>9</v>
      </c>
      <c r="K17" s="12">
        <v>6</v>
      </c>
      <c r="L17" s="16">
        <v>2</v>
      </c>
      <c r="M17" s="58">
        <v>6000</v>
      </c>
      <c r="N17" s="58" t="s">
        <v>29</v>
      </c>
      <c r="P17" s="58">
        <f>M17/15/8</f>
        <v>50</v>
      </c>
    </row>
    <row r="18" spans="10:16" ht="15" thickBot="1" x14ac:dyDescent="0.25">
      <c r="J18" s="62"/>
      <c r="K18" s="14">
        <v>7</v>
      </c>
      <c r="L18" s="18">
        <v>3</v>
      </c>
      <c r="M18" s="59"/>
      <c r="N18" s="59"/>
      <c r="P18" s="59"/>
    </row>
    <row r="19" spans="10:16" x14ac:dyDescent="0.2">
      <c r="J19" s="63" t="s">
        <v>16</v>
      </c>
      <c r="K19" s="15">
        <v>1</v>
      </c>
      <c r="L19" s="20">
        <v>3</v>
      </c>
      <c r="M19" s="58">
        <v>320</v>
      </c>
      <c r="N19" s="58" t="s">
        <v>18</v>
      </c>
      <c r="P19" s="58">
        <f>M19/8</f>
        <v>40</v>
      </c>
    </row>
    <row r="20" spans="10:16" x14ac:dyDescent="0.2">
      <c r="J20" s="64"/>
      <c r="K20" s="13">
        <v>4</v>
      </c>
      <c r="L20" s="17">
        <v>4.5</v>
      </c>
      <c r="M20" s="60"/>
      <c r="N20" s="60"/>
      <c r="P20" s="60"/>
    </row>
    <row r="21" spans="10:16" ht="15" thickBot="1" x14ac:dyDescent="0.25">
      <c r="J21" s="62"/>
      <c r="K21" s="14">
        <v>7</v>
      </c>
      <c r="L21" s="18">
        <v>4</v>
      </c>
      <c r="M21" s="59"/>
      <c r="N21" s="59"/>
      <c r="P21" s="59"/>
    </row>
    <row r="22" spans="10:16" x14ac:dyDescent="0.2">
      <c r="K22" s="26"/>
    </row>
    <row r="23" spans="10:16" ht="15" thickBot="1" x14ac:dyDescent="0.25">
      <c r="K23" s="26"/>
    </row>
    <row r="24" spans="10:16" ht="15" thickBot="1" x14ac:dyDescent="0.25">
      <c r="J24" s="9" t="s">
        <v>23</v>
      </c>
      <c r="K24" s="23" t="s">
        <v>26</v>
      </c>
    </row>
    <row r="25" spans="10:16" x14ac:dyDescent="0.2">
      <c r="J25" s="10" t="s">
        <v>19</v>
      </c>
      <c r="K25" s="22" t="s">
        <v>25</v>
      </c>
    </row>
    <row r="26" spans="10:16" x14ac:dyDescent="0.2">
      <c r="J26" s="1" t="s">
        <v>20</v>
      </c>
      <c r="K26" s="2" t="s">
        <v>18</v>
      </c>
    </row>
    <row r="27" spans="10:16" x14ac:dyDescent="0.2">
      <c r="J27" s="1" t="s">
        <v>21</v>
      </c>
      <c r="K27" s="2" t="s">
        <v>18</v>
      </c>
    </row>
    <row r="28" spans="10:16" ht="15" thickBot="1" x14ac:dyDescent="0.25">
      <c r="J28" s="3" t="s">
        <v>22</v>
      </c>
      <c r="K28" s="4" t="s">
        <v>18</v>
      </c>
    </row>
  </sheetData>
  <mergeCells count="33">
    <mergeCell ref="J19:J21"/>
    <mergeCell ref="M19:M21"/>
    <mergeCell ref="N19:N21"/>
    <mergeCell ref="P19:P21"/>
    <mergeCell ref="J14:J15"/>
    <mergeCell ref="M14:M15"/>
    <mergeCell ref="N14:N15"/>
    <mergeCell ref="P14:P15"/>
    <mergeCell ref="J17:J18"/>
    <mergeCell ref="M17:M18"/>
    <mergeCell ref="N17:N18"/>
    <mergeCell ref="P17:P18"/>
    <mergeCell ref="P10:P11"/>
    <mergeCell ref="J12:J13"/>
    <mergeCell ref="M12:M13"/>
    <mergeCell ref="N12:N13"/>
    <mergeCell ref="P12:P13"/>
    <mergeCell ref="B10:G10"/>
    <mergeCell ref="J3:J5"/>
    <mergeCell ref="M3:M5"/>
    <mergeCell ref="N3:N5"/>
    <mergeCell ref="P3:P5"/>
    <mergeCell ref="J6:J7"/>
    <mergeCell ref="M6:M7"/>
    <mergeCell ref="N6:N7"/>
    <mergeCell ref="P6:P7"/>
    <mergeCell ref="J8:J9"/>
    <mergeCell ref="M8:M9"/>
    <mergeCell ref="N8:N9"/>
    <mergeCell ref="P8:P9"/>
    <mergeCell ref="J10:J11"/>
    <mergeCell ref="M10:M11"/>
    <mergeCell ref="N10:N1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e2da58f-a220-4add-9fb2-0fc80dcff8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534394F008DC4397253C669199C39A" ma:contentTypeVersion="1" ma:contentTypeDescription="Crie um novo documento." ma:contentTypeScope="" ma:versionID="6718d38a3d305c2b497f65686606ca63">
  <xsd:schema xmlns:xsd="http://www.w3.org/2001/XMLSchema" xmlns:xs="http://www.w3.org/2001/XMLSchema" xmlns:p="http://schemas.microsoft.com/office/2006/metadata/properties" xmlns:ns2="2e2da58f-a220-4add-9fb2-0fc80dcff8d4" targetNamespace="http://schemas.microsoft.com/office/2006/metadata/properties" ma:root="true" ma:fieldsID="4649c83a7b4a5d2e7aac9d188bf77623" ns2:_="">
    <xsd:import namespace="2e2da58f-a220-4add-9fb2-0fc80dcff8d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da58f-a220-4add-9fb2-0fc80dcff8d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0FE29-AB96-459F-B3D7-EAC821589F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61DE7-8D8E-4DF9-BF17-6E8F693FE89C}">
  <ds:schemaRefs>
    <ds:schemaRef ds:uri="http://schemas.microsoft.com/office/2006/metadata/properties"/>
    <ds:schemaRef ds:uri="http://schemas.microsoft.com/office/infopath/2007/PartnerControls"/>
    <ds:schemaRef ds:uri="2e2da58f-a220-4add-9fb2-0fc80dcff8d4"/>
  </ds:schemaRefs>
</ds:datastoreItem>
</file>

<file path=customXml/itemProps3.xml><?xml version="1.0" encoding="utf-8"?>
<ds:datastoreItem xmlns:ds="http://schemas.openxmlformats.org/officeDocument/2006/customXml" ds:itemID="{03D392A6-DC87-47FF-87BA-BC2C2BEEA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da58f-a220-4add-9fb2-0fc80dcff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 que fazer</vt:lpstr>
      <vt:lpstr>Fragmento_Custo_DR</vt:lpstr>
      <vt:lpstr>Custo_Menor Custo</vt:lpstr>
      <vt:lpstr>Fragmento_Duração_DR</vt:lpstr>
      <vt:lpstr>Custo_Menor Duração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Prof-HP08</dc:creator>
  <cp:lastModifiedBy>Felipe de Jesus</cp:lastModifiedBy>
  <dcterms:created xsi:type="dcterms:W3CDTF">2023-03-14T14:24:17Z</dcterms:created>
  <dcterms:modified xsi:type="dcterms:W3CDTF">2025-09-26T12:48:30Z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0x0101008C534394F008DC4397253C669199C39A</vt:lpwstr>
  </property>
</Properties>
</file>