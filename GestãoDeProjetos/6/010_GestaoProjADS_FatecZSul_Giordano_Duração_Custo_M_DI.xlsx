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8_{7D5347B3-BEBB-45BD-94DB-454569FCDD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 que fazer" sheetId="5" r:id="rId1"/>
    <sheet name="Fragmento_Custo_DR" sheetId="1" r:id="rId2"/>
    <sheet name="Custo_Menor Custo" sheetId="2" r:id="rId3"/>
    <sheet name="Fragmento_Duração_DR" sheetId="4" r:id="rId4"/>
    <sheet name="Custo_Menor Duraçã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3" i="2"/>
  <c r="F3" i="2"/>
  <c r="E3" i="2"/>
  <c r="D3" i="2"/>
  <c r="C3" i="2"/>
  <c r="D2" i="1"/>
  <c r="D5" i="1"/>
  <c r="C5" i="1"/>
  <c r="AD4" i="1"/>
  <c r="AD5" i="1"/>
  <c r="AD6" i="1"/>
  <c r="AD3" i="1"/>
  <c r="AC6" i="1"/>
  <c r="AC5" i="1"/>
  <c r="AC4" i="1"/>
  <c r="AC3" i="1"/>
  <c r="AB6" i="1"/>
  <c r="AB5" i="1"/>
  <c r="AB4" i="1"/>
  <c r="AB3" i="1"/>
  <c r="Y19" i="1"/>
  <c r="Y17" i="1"/>
  <c r="Y16" i="1"/>
  <c r="Y14" i="1"/>
  <c r="Y12" i="1"/>
  <c r="Y10" i="1"/>
  <c r="Y8" i="1"/>
  <c r="Y6" i="1"/>
  <c r="Y3" i="1"/>
  <c r="AA6" i="1"/>
  <c r="AA5" i="1"/>
  <c r="AA4" i="1"/>
  <c r="AA3" i="1"/>
</calcChain>
</file>

<file path=xl/sharedStrings.xml><?xml version="1.0" encoding="utf-8"?>
<sst xmlns="http://schemas.openxmlformats.org/spreadsheetml/2006/main" count="205" uniqueCount="60">
  <si>
    <t>Descrição A</t>
  </si>
  <si>
    <t>Descrição B</t>
  </si>
  <si>
    <t>Descrição C</t>
  </si>
  <si>
    <t>Descrição D</t>
  </si>
  <si>
    <t>Descrição E</t>
  </si>
  <si>
    <t>Descrição F</t>
  </si>
  <si>
    <t>Descrição G</t>
  </si>
  <si>
    <t>Nirvana</t>
  </si>
  <si>
    <t>Queen</t>
  </si>
  <si>
    <t>Megadeth</t>
  </si>
  <si>
    <t>Recurso</t>
  </si>
  <si>
    <t>Beatles</t>
  </si>
  <si>
    <t>Foo</t>
  </si>
  <si>
    <t>Peppers</t>
  </si>
  <si>
    <t>Guns</t>
  </si>
  <si>
    <t>Sabbath</t>
  </si>
  <si>
    <t>Maiden</t>
  </si>
  <si>
    <t>Entrega em/horas</t>
  </si>
  <si>
    <t>Dia</t>
  </si>
  <si>
    <t>Dia/8</t>
  </si>
  <si>
    <t>Semana/7</t>
  </si>
  <si>
    <t>Quinzena/15</t>
  </si>
  <si>
    <t>Mês/30</t>
  </si>
  <si>
    <t>Custo RH</t>
  </si>
  <si>
    <t>Base</t>
  </si>
  <si>
    <t>Hora</t>
  </si>
  <si>
    <t>Resultado</t>
  </si>
  <si>
    <t>Mês</t>
  </si>
  <si>
    <t>Semana</t>
  </si>
  <si>
    <t>Quinzena</t>
  </si>
  <si>
    <t>Tarefa</t>
  </si>
  <si>
    <t>Duração</t>
  </si>
  <si>
    <t>RH</t>
  </si>
  <si>
    <t>Custo Tarefa</t>
  </si>
  <si>
    <t>Outros Custos</t>
  </si>
  <si>
    <t>Competente Tarefa</t>
  </si>
  <si>
    <t xml:space="preserve">Tarefas do Caminho Crítico: </t>
  </si>
  <si>
    <t>1-?</t>
  </si>
  <si>
    <t>?-?</t>
  </si>
  <si>
    <t>Custo/Hora</t>
  </si>
  <si>
    <t>Custo Total (Recursos)</t>
  </si>
  <si>
    <t>Custo RH T</t>
  </si>
  <si>
    <t>1. Planejar nas planilhas Fragmento_Custo (Diagrama de Rede) e Custo_Menor_Custo (Custo),</t>
  </si>
  <si>
    <t>2. Planejar nas planilhas Fragmento_Duração (Diagrama de Rede) e Custo_Menor_Duração (Custo),</t>
  </si>
  <si>
    <r>
      <t xml:space="preserve">a alocação de recursos visando o menor </t>
    </r>
    <r>
      <rPr>
        <b/>
        <u/>
        <sz val="11"/>
        <color theme="1"/>
        <rFont val="Arial Rounded MT Bold"/>
        <family val="2"/>
      </rPr>
      <t>Custo</t>
    </r>
    <r>
      <rPr>
        <sz val="11"/>
        <color theme="1"/>
        <rFont val="Arial Rounded MT Bold"/>
        <family val="2"/>
      </rPr>
      <t>, sem preocupação com o Cronograma (Duração).</t>
    </r>
  </si>
  <si>
    <r>
      <t xml:space="preserve">a alocação de recursos visando o menor </t>
    </r>
    <r>
      <rPr>
        <b/>
        <u/>
        <sz val="11"/>
        <color theme="1"/>
        <rFont val="Arial Rounded MT Bold"/>
        <family val="2"/>
      </rPr>
      <t>Cronograma (Duração)</t>
    </r>
    <r>
      <rPr>
        <sz val="11"/>
        <color theme="1"/>
        <rFont val="Arial Rounded MT Bold"/>
        <family val="2"/>
      </rPr>
      <t>, sem preocupação com o Custo.</t>
    </r>
  </si>
  <si>
    <t>4. Subir a pasta com as respostas no Portal, atendendo à DI solicitada.</t>
  </si>
  <si>
    <t>3. Apontar as Tarefas do Caminho Crítico e as Tarefas com Folga (em Custo e em Cronograma).</t>
  </si>
  <si>
    <t>Determinar o número de horas totais do Projeto.</t>
  </si>
  <si>
    <t>Determinar a data e hora do fim do Projeto tendo</t>
  </si>
  <si>
    <t>% Tarefas do caminho crítico:</t>
  </si>
  <si>
    <t>Determinar a quantidade de dias do Projeto:</t>
  </si>
  <si>
    <t>Atenção: Entregas em horas.</t>
  </si>
  <si>
    <t>como início 29/10/2025, pela manhã.</t>
  </si>
  <si>
    <t>como início 06/10/2025, pela manhã.</t>
  </si>
  <si>
    <t xml:space="preserve">Tarefas com Folga (horas de Folga): </t>
  </si>
  <si>
    <t>T1</t>
  </si>
  <si>
    <t>Custo &lt;</t>
  </si>
  <si>
    <t>1-1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</si>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</sst>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3" x14ac:knownFonts="1">
    <font>
      <sz val="11"/>
      <color theme="1"/>
      <name val="Arial Rounded MT Bold"/>
      <family val="2"/>
    </font>
    <font>
      <sz val="11"/>
      <color theme="1"/>
      <name val="Arial Rounded MT Bold"/>
      <family val="2"/>
    </font>
    <font>
      <b/>
      <u/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44" fontId="0" fillId="0" borderId="0" xfId="1" applyFont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44" fontId="0" fillId="0" borderId="1" xfId="1" applyFont="1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2" borderId="0" xfId="1" applyFont="1" applyFill="1"/>
    <xf numFmtId="0" fontId="0" fillId="0" borderId="3" xfId="0" quotePrefix="1" applyBorder="1" applyAlignment="1">
      <alignment horizontal="center"/>
    </xf>
    <xf numFmtId="44" fontId="0" fillId="0" borderId="24" xfId="1" applyFont="1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44" fontId="0" fillId="0" borderId="25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Fill="1" applyBorder="1" applyAlignment="1">
      <alignment horizontal="center"/>
    </xf>
    <xf numFmtId="44" fontId="0" fillId="0" borderId="0" xfId="0" applyNumberFormat="1"/>
    <xf numFmtId="44" fontId="0" fillId="2" borderId="0" xfId="0" applyNumberFormat="1" applyFill="1"/>
    <xf numFmtId="0" fontId="0" fillId="0" borderId="20" xfId="0" applyFill="1" applyBorder="1" applyAlignment="1">
      <alignment horizontal="center"/>
    </xf>
    <xf numFmtId="0" fontId="0" fillId="0" borderId="23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190500</xdr:colOff>
      <xdr:row>3</xdr:row>
      <xdr:rowOff>19050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771650" y="552450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0</xdr:rowOff>
    </xdr:from>
    <xdr:to>
      <xdr:col>8</xdr:col>
      <xdr:colOff>257175</xdr:colOff>
      <xdr:row>3</xdr:row>
      <xdr:rowOff>19050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457575" y="552450"/>
          <a:ext cx="266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</xdr:row>
      <xdr:rowOff>171450</xdr:rowOff>
    </xdr:from>
    <xdr:to>
      <xdr:col>8</xdr:col>
      <xdr:colOff>161925</xdr:colOff>
      <xdr:row>8</xdr:row>
      <xdr:rowOff>171450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476625" y="164782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</xdr:row>
      <xdr:rowOff>171450</xdr:rowOff>
    </xdr:from>
    <xdr:to>
      <xdr:col>12</xdr:col>
      <xdr:colOff>238125</xdr:colOff>
      <xdr:row>3</xdr:row>
      <xdr:rowOff>9525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5286375" y="54292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171450</xdr:rowOff>
    </xdr:from>
    <xdr:to>
      <xdr:col>5</xdr:col>
      <xdr:colOff>19050</xdr:colOff>
      <xdr:row>8</xdr:row>
      <xdr:rowOff>171450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838325" y="164782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15</xdr:row>
      <xdr:rowOff>9525</xdr:rowOff>
    </xdr:from>
    <xdr:to>
      <xdr:col>5</xdr:col>
      <xdr:colOff>0</xdr:colOff>
      <xdr:row>15</xdr:row>
      <xdr:rowOff>9525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819275" y="2771775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</xdr:row>
      <xdr:rowOff>11430</xdr:rowOff>
    </xdr:from>
    <xdr:to>
      <xdr:col>8</xdr:col>
      <xdr:colOff>163830</xdr:colOff>
      <xdr:row>14</xdr:row>
      <xdr:rowOff>167640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295650" y="535305"/>
          <a:ext cx="11430" cy="2049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14</xdr:row>
      <xdr:rowOff>171450</xdr:rowOff>
    </xdr:from>
    <xdr:to>
      <xdr:col>8</xdr:col>
      <xdr:colOff>161925</xdr:colOff>
      <xdr:row>15</xdr:row>
      <xdr:rowOff>9525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3438525" y="275272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64561</xdr:colOff>
      <xdr:row>3</xdr:row>
      <xdr:rowOff>0</xdr:rowOff>
    </xdr:from>
    <xdr:to>
      <xdr:col>12</xdr:col>
      <xdr:colOff>74083</xdr:colOff>
      <xdr:row>8</xdr:row>
      <xdr:rowOff>158750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922311" y="560917"/>
          <a:ext cx="9522" cy="107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</xdr:row>
      <xdr:rowOff>161925</xdr:rowOff>
    </xdr:from>
    <xdr:to>
      <xdr:col>13</xdr:col>
      <xdr:colOff>0</xdr:colOff>
      <xdr:row>8</xdr:row>
      <xdr:rowOff>171450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5305425" y="1638300"/>
          <a:ext cx="152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</xdr:row>
      <xdr:rowOff>0</xdr:rowOff>
    </xdr:from>
    <xdr:to>
      <xdr:col>16</xdr:col>
      <xdr:colOff>285750</xdr:colOff>
      <xdr:row>3</xdr:row>
      <xdr:rowOff>19050</xdr:rowOff>
    </xdr:to>
    <xdr:cxnSp macro="">
      <xdr:nvCxnSpPr>
        <xdr:cNvPr id="26" name="Conector de Seta Ret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6972300" y="552450"/>
          <a:ext cx="266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89960</xdr:colOff>
      <xdr:row>3</xdr:row>
      <xdr:rowOff>14817</xdr:rowOff>
    </xdr:from>
    <xdr:to>
      <xdr:col>16</xdr:col>
      <xdr:colOff>99482</xdr:colOff>
      <xdr:row>8</xdr:row>
      <xdr:rowOff>173567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6662210" y="575734"/>
          <a:ext cx="9522" cy="107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394763</xdr:colOff>
      <xdr:row>8</xdr:row>
      <xdr:rowOff>156633</xdr:rowOff>
    </xdr:from>
    <xdr:to>
      <xdr:col>16</xdr:col>
      <xdr:colOff>127005</xdr:colOff>
      <xdr:row>8</xdr:row>
      <xdr:rowOff>166158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543680" y="1638300"/>
          <a:ext cx="1555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</xdr:colOff>
      <xdr:row>3</xdr:row>
      <xdr:rowOff>27146</xdr:rowOff>
    </xdr:from>
    <xdr:to>
      <xdr:col>4</xdr:col>
      <xdr:colOff>52387</xdr:colOff>
      <xdr:row>15</xdr:row>
      <xdr:rowOff>4762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44E42E0-140E-44F2-8D4C-84A3C7954988}"/>
            </a:ext>
          </a:extLst>
        </xdr:cNvPr>
        <xdr:cNvCxnSpPr/>
      </xdr:nvCxnSpPr>
      <xdr:spPr>
        <a:xfrm flipH="1">
          <a:off x="1593056" y="551021"/>
          <a:ext cx="19050" cy="20493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190500</xdr:colOff>
      <xdr:row>3</xdr:row>
      <xdr:rowOff>19050</xdr:rowOff>
    </xdr:to>
    <xdr:cxnSp macro="">
      <xdr:nvCxnSpPr>
        <xdr:cNvPr id="2" name="Conector de Seta Ret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600200" y="561975"/>
          <a:ext cx="1905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0</xdr:rowOff>
    </xdr:from>
    <xdr:to>
      <xdr:col>8</xdr:col>
      <xdr:colOff>257175</xdr:colOff>
      <xdr:row>3</xdr:row>
      <xdr:rowOff>19050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3209925" y="561975"/>
          <a:ext cx="2286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8</xdr:row>
      <xdr:rowOff>171450</xdr:rowOff>
    </xdr:from>
    <xdr:to>
      <xdr:col>8</xdr:col>
      <xdr:colOff>161925</xdr:colOff>
      <xdr:row>8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32289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</xdr:colOff>
      <xdr:row>2</xdr:row>
      <xdr:rowOff>171450</xdr:rowOff>
    </xdr:from>
    <xdr:to>
      <xdr:col>12</xdr:col>
      <xdr:colOff>238125</xdr:colOff>
      <xdr:row>3</xdr:row>
      <xdr:rowOff>9525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4905375" y="552450"/>
          <a:ext cx="1714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171450</xdr:rowOff>
    </xdr:from>
    <xdr:to>
      <xdr:col>5</xdr:col>
      <xdr:colOff>19050</xdr:colOff>
      <xdr:row>8</xdr:row>
      <xdr:rowOff>171450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666875" y="1657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15</xdr:row>
      <xdr:rowOff>9525</xdr:rowOff>
    </xdr:from>
    <xdr:to>
      <xdr:col>5</xdr:col>
      <xdr:colOff>0</xdr:colOff>
      <xdr:row>15</xdr:row>
      <xdr:rowOff>9525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1647825" y="280035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3</xdr:row>
      <xdr:rowOff>9525</xdr:rowOff>
    </xdr:from>
    <xdr:to>
      <xdr:col>4</xdr:col>
      <xdr:colOff>57150</xdr:colOff>
      <xdr:row>15</xdr:row>
      <xdr:rowOff>9525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1647825" y="571500"/>
          <a:ext cx="9525" cy="222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3</xdr:row>
      <xdr:rowOff>9525</xdr:rowOff>
    </xdr:from>
    <xdr:to>
      <xdr:col>8</xdr:col>
      <xdr:colOff>161925</xdr:colOff>
      <xdr:row>14</xdr:row>
      <xdr:rowOff>171450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3371850" y="571500"/>
          <a:ext cx="9525" cy="2200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14</xdr:row>
      <xdr:rowOff>171450</xdr:rowOff>
    </xdr:from>
    <xdr:to>
      <xdr:col>8</xdr:col>
      <xdr:colOff>161925</xdr:colOff>
      <xdr:row>15</xdr:row>
      <xdr:rowOff>9525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3190875" y="2771775"/>
          <a:ext cx="1905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64561</xdr:colOff>
      <xdr:row>3</xdr:row>
      <xdr:rowOff>0</xdr:rowOff>
    </xdr:from>
    <xdr:to>
      <xdr:col>12</xdr:col>
      <xdr:colOff>74083</xdr:colOff>
      <xdr:row>8</xdr:row>
      <xdr:rowOff>158750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922311" y="561975"/>
          <a:ext cx="9522" cy="1082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8</xdr:row>
      <xdr:rowOff>161925</xdr:rowOff>
    </xdr:from>
    <xdr:to>
      <xdr:col>13</xdr:col>
      <xdr:colOff>0</xdr:colOff>
      <xdr:row>8</xdr:row>
      <xdr:rowOff>171450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4924425" y="1647825"/>
          <a:ext cx="1524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</xdr:row>
      <xdr:rowOff>0</xdr:rowOff>
    </xdr:from>
    <xdr:to>
      <xdr:col>16</xdr:col>
      <xdr:colOff>285750</xdr:colOff>
      <xdr:row>3</xdr:row>
      <xdr:rowOff>19050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6581775" y="561975"/>
          <a:ext cx="1619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89960</xdr:colOff>
      <xdr:row>3</xdr:row>
      <xdr:rowOff>14817</xdr:rowOff>
    </xdr:from>
    <xdr:to>
      <xdr:col>16</xdr:col>
      <xdr:colOff>99482</xdr:colOff>
      <xdr:row>8</xdr:row>
      <xdr:rowOff>173567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6652685" y="576792"/>
          <a:ext cx="9522" cy="1082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394763</xdr:colOff>
      <xdr:row>8</xdr:row>
      <xdr:rowOff>156633</xdr:rowOff>
    </xdr:from>
    <xdr:to>
      <xdr:col>16</xdr:col>
      <xdr:colOff>127005</xdr:colOff>
      <xdr:row>8</xdr:row>
      <xdr:rowOff>166158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6538388" y="1642533"/>
          <a:ext cx="151342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zoomScale="120" zoomScaleNormal="120" workbookViewId="0"/>
  </sheetViews>
  <sheetFormatPr defaultRowHeight="13.8" x14ac:dyDescent="0.25"/>
  <cols>
    <col min="1" max="1" width="2.81640625" customWidth="1"/>
  </cols>
  <sheetData>
    <row r="2" spans="2:3" x14ac:dyDescent="0.25">
      <c r="B2" t="s">
        <v>42</v>
      </c>
    </row>
    <row r="3" spans="2:3" x14ac:dyDescent="0.25">
      <c r="C3" t="s">
        <v>44</v>
      </c>
    </row>
    <row r="5" spans="2:3" x14ac:dyDescent="0.25">
      <c r="B5" t="s">
        <v>43</v>
      </c>
    </row>
    <row r="6" spans="2:3" x14ac:dyDescent="0.25">
      <c r="C6" t="s">
        <v>45</v>
      </c>
    </row>
    <row r="8" spans="2:3" x14ac:dyDescent="0.25">
      <c r="B8" t="s">
        <v>47</v>
      </c>
    </row>
    <row r="10" spans="2:3" x14ac:dyDescent="0.25">
      <c r="B10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30"/>
  <sheetViews>
    <sheetView tabSelected="1" zoomScale="80" zoomScaleNormal="80" workbookViewId="0">
      <selection activeCell="AA9" sqref="AA9"/>
    </sheetView>
  </sheetViews>
  <sheetFormatPr defaultRowHeight="13.8" x14ac:dyDescent="0.25"/>
  <cols>
    <col min="1" max="1" width="3.1796875" customWidth="1"/>
    <col min="2" max="2" width="2.453125" customWidth="1"/>
    <col min="4" max="4" width="4.08984375" customWidth="1"/>
    <col min="5" max="5" width="2.36328125" customWidth="1"/>
    <col min="6" max="6" width="3.54296875" bestFit="1" customWidth="1"/>
    <col min="8" max="8" width="4.08984375" customWidth="1"/>
    <col min="9" max="9" width="2.54296875" customWidth="1"/>
    <col min="10" max="10" width="3.54296875" bestFit="1" customWidth="1"/>
    <col min="12" max="12" width="4.08984375" customWidth="1"/>
    <col min="13" max="13" width="2.54296875" customWidth="1"/>
    <col min="14" max="14" width="3.54296875" bestFit="1" customWidth="1"/>
    <col min="16" max="16" width="4.90625" customWidth="1"/>
    <col min="17" max="17" width="2.08984375" customWidth="1"/>
    <col min="18" max="18" width="2.36328125" customWidth="1"/>
    <col min="19" max="19" width="11.08984375" bestFit="1" customWidth="1"/>
    <col min="20" max="20" width="16.6328125" style="7" bestFit="1" customWidth="1"/>
    <col min="21" max="21" width="15.54296875" bestFit="1" customWidth="1"/>
    <col min="22" max="22" width="11.90625" bestFit="1" customWidth="1"/>
    <col min="23" max="23" width="9.81640625" bestFit="1" customWidth="1"/>
    <col min="24" max="24" width="2.36328125" customWidth="1"/>
    <col min="25" max="25" width="10.36328125" bestFit="1" customWidth="1"/>
    <col min="26" max="26" width="2.54296875" customWidth="1"/>
    <col min="28" max="28" width="9.54296875" bestFit="1" customWidth="1"/>
    <col min="29" max="29" width="3.6328125" bestFit="1" customWidth="1"/>
    <col min="30" max="30" width="10.54296875" bestFit="1" customWidth="1"/>
  </cols>
  <sheetData>
    <row r="1" spans="2:30" ht="14.4" thickBot="1" x14ac:dyDescent="0.3"/>
    <row r="2" spans="2:30" ht="14.4" thickBot="1" x14ac:dyDescent="0.3">
      <c r="B2" s="1">
        <v>0</v>
      </c>
      <c r="C2" s="31" t="s">
        <v>58</v>
      </c>
      <c r="D2" s="28">
        <f>B2+D5</f>
        <v>1</v>
      </c>
      <c r="F2" s="29"/>
      <c r="G2" s="31" t="s">
        <v>38</v>
      </c>
      <c r="H2" s="28"/>
      <c r="J2" s="29"/>
      <c r="K2" s="31" t="s">
        <v>38</v>
      </c>
      <c r="L2" s="28"/>
      <c r="N2" s="29"/>
      <c r="O2" s="31" t="s">
        <v>38</v>
      </c>
      <c r="P2" s="28"/>
      <c r="S2" s="13" t="s">
        <v>10</v>
      </c>
      <c r="T2" s="13" t="s">
        <v>35</v>
      </c>
      <c r="U2" s="13" t="s">
        <v>17</v>
      </c>
      <c r="V2" s="13" t="s">
        <v>23</v>
      </c>
      <c r="W2" s="13" t="s">
        <v>24</v>
      </c>
      <c r="Y2" s="13" t="s">
        <v>39</v>
      </c>
      <c r="AA2" s="46" t="s">
        <v>56</v>
      </c>
      <c r="AD2" s="7" t="s">
        <v>57</v>
      </c>
    </row>
    <row r="3" spans="2:30" x14ac:dyDescent="0.25">
      <c r="B3" s="39" t="s">
        <v>0</v>
      </c>
      <c r="C3" s="40"/>
      <c r="D3" s="41"/>
      <c r="F3" s="39" t="s">
        <v>1</v>
      </c>
      <c r="G3" s="40"/>
      <c r="H3" s="41"/>
      <c r="J3" s="39" t="s">
        <v>4</v>
      </c>
      <c r="K3" s="40"/>
      <c r="L3" s="41"/>
      <c r="N3" s="39" t="s">
        <v>5</v>
      </c>
      <c r="O3" s="40"/>
      <c r="P3" s="41"/>
      <c r="S3" s="35" t="s">
        <v>11</v>
      </c>
      <c r="T3" s="49">
        <v>1</v>
      </c>
      <c r="U3" s="18">
        <v>1.5</v>
      </c>
      <c r="V3" s="32">
        <v>70</v>
      </c>
      <c r="W3" s="32" t="s">
        <v>25</v>
      </c>
      <c r="Y3" s="32">
        <f>V3</f>
        <v>70</v>
      </c>
      <c r="AA3" t="str">
        <f>S3</f>
        <v>Beatles</v>
      </c>
      <c r="AB3" s="47">
        <f>Y3</f>
        <v>70</v>
      </c>
      <c r="AC3" s="9">
        <f>U3</f>
        <v>1.5</v>
      </c>
      <c r="AD3" s="47">
        <f>AC3*AB3</f>
        <v>105</v>
      </c>
    </row>
    <row r="4" spans="2:30" x14ac:dyDescent="0.25">
      <c r="B4" s="42"/>
      <c r="C4" s="43"/>
      <c r="D4" s="44"/>
      <c r="F4" s="42"/>
      <c r="G4" s="43"/>
      <c r="H4" s="44"/>
      <c r="J4" s="42"/>
      <c r="K4" s="43"/>
      <c r="L4" s="44"/>
      <c r="N4" s="42"/>
      <c r="O4" s="43"/>
      <c r="P4" s="44"/>
      <c r="S4" s="38"/>
      <c r="T4" s="15">
        <v>5</v>
      </c>
      <c r="U4" s="19">
        <v>2</v>
      </c>
      <c r="V4" s="34"/>
      <c r="W4" s="34"/>
      <c r="Y4" s="34"/>
      <c r="AA4" t="str">
        <f>S10</f>
        <v>Guns</v>
      </c>
      <c r="AB4" s="47">
        <f>Y10</f>
        <v>55</v>
      </c>
      <c r="AC4" s="9">
        <f>U10</f>
        <v>2</v>
      </c>
      <c r="AD4" s="47">
        <f t="shared" ref="AD4:AD6" si="0">AC4*AB4</f>
        <v>110</v>
      </c>
    </row>
    <row r="5" spans="2:30" ht="14.4" thickBot="1" x14ac:dyDescent="0.3">
      <c r="B5" s="4">
        <v>1</v>
      </c>
      <c r="C5" s="5" t="str">
        <f>AA5</f>
        <v>Nirvana</v>
      </c>
      <c r="D5" s="27">
        <f>AC5</f>
        <v>1</v>
      </c>
      <c r="F5" s="4">
        <v>2</v>
      </c>
      <c r="G5" s="5"/>
      <c r="H5" s="6"/>
      <c r="J5" s="4">
        <v>5</v>
      </c>
      <c r="K5" s="5"/>
      <c r="L5" s="27"/>
      <c r="N5" s="4">
        <v>6</v>
      </c>
      <c r="O5" s="5"/>
      <c r="P5" s="27"/>
      <c r="S5" s="36"/>
      <c r="T5" s="16">
        <v>6</v>
      </c>
      <c r="U5" s="20">
        <v>2.5</v>
      </c>
      <c r="V5" s="33"/>
      <c r="W5" s="33"/>
      <c r="Y5" s="33"/>
      <c r="AA5" t="str">
        <f>S12</f>
        <v>Nirvana</v>
      </c>
      <c r="AB5" s="47">
        <f>Y12</f>
        <v>75</v>
      </c>
      <c r="AC5" s="9">
        <f>U12</f>
        <v>1</v>
      </c>
      <c r="AD5" s="48">
        <f t="shared" si="0"/>
        <v>75</v>
      </c>
    </row>
    <row r="6" spans="2:30" x14ac:dyDescent="0.25">
      <c r="S6" s="35" t="s">
        <v>12</v>
      </c>
      <c r="T6" s="14">
        <v>2</v>
      </c>
      <c r="U6" s="18">
        <v>3.5</v>
      </c>
      <c r="V6" s="32">
        <v>360</v>
      </c>
      <c r="W6" s="32" t="s">
        <v>18</v>
      </c>
      <c r="Y6" s="32">
        <f>V6/8</f>
        <v>45</v>
      </c>
      <c r="AA6" t="str">
        <f>S19</f>
        <v>Maiden</v>
      </c>
      <c r="AB6" s="47">
        <f>Y19</f>
        <v>40</v>
      </c>
      <c r="AC6" s="9">
        <f>U19</f>
        <v>3</v>
      </c>
      <c r="AD6" s="47">
        <f t="shared" si="0"/>
        <v>120</v>
      </c>
    </row>
    <row r="7" spans="2:30" ht="14.4" thickBot="1" x14ac:dyDescent="0.3">
      <c r="S7" s="36"/>
      <c r="T7" s="16">
        <v>3</v>
      </c>
      <c r="U7" s="20">
        <v>2</v>
      </c>
      <c r="V7" s="33"/>
      <c r="W7" s="33"/>
      <c r="Y7" s="33"/>
    </row>
    <row r="8" spans="2:30" x14ac:dyDescent="0.25">
      <c r="F8" s="29"/>
      <c r="G8" s="31" t="s">
        <v>38</v>
      </c>
      <c r="H8" s="28"/>
      <c r="N8" s="29"/>
      <c r="O8" s="31" t="s">
        <v>38</v>
      </c>
      <c r="P8" s="28"/>
      <c r="S8" s="35" t="s">
        <v>13</v>
      </c>
      <c r="T8" s="14">
        <v>3</v>
      </c>
      <c r="U8" s="18">
        <v>2.5</v>
      </c>
      <c r="V8" s="32">
        <v>8400</v>
      </c>
      <c r="W8" s="32" t="s">
        <v>27</v>
      </c>
      <c r="Y8" s="32">
        <f>V8/30/8</f>
        <v>35</v>
      </c>
      <c r="AA8" t="s">
        <v>59</v>
      </c>
    </row>
    <row r="9" spans="2:30" ht="14.4" thickBot="1" x14ac:dyDescent="0.3">
      <c r="F9" s="39" t="s">
        <v>2</v>
      </c>
      <c r="G9" s="40"/>
      <c r="H9" s="41"/>
      <c r="N9" s="39" t="s">
        <v>6</v>
      </c>
      <c r="O9" s="40"/>
      <c r="P9" s="41"/>
      <c r="S9" s="36"/>
      <c r="T9" s="16">
        <v>4</v>
      </c>
      <c r="U9" s="20">
        <v>5</v>
      </c>
      <c r="V9" s="33"/>
      <c r="W9" s="33"/>
      <c r="Y9" s="33"/>
    </row>
    <row r="10" spans="2:30" x14ac:dyDescent="0.25">
      <c r="F10" s="42"/>
      <c r="G10" s="43"/>
      <c r="H10" s="44"/>
      <c r="N10" s="42"/>
      <c r="O10" s="43"/>
      <c r="P10" s="44"/>
      <c r="S10" s="35" t="s">
        <v>14</v>
      </c>
      <c r="T10" s="49">
        <v>1</v>
      </c>
      <c r="U10" s="18">
        <v>2</v>
      </c>
      <c r="V10" s="32">
        <v>55</v>
      </c>
      <c r="W10" s="32" t="s">
        <v>25</v>
      </c>
      <c r="Y10" s="32">
        <f>V10</f>
        <v>55</v>
      </c>
    </row>
    <row r="11" spans="2:30" ht="14.4" thickBot="1" x14ac:dyDescent="0.3">
      <c r="F11" s="4">
        <v>3</v>
      </c>
      <c r="G11" s="5"/>
      <c r="H11" s="6"/>
      <c r="N11" s="4">
        <v>7</v>
      </c>
      <c r="O11" s="5"/>
      <c r="P11" s="27"/>
      <c r="S11" s="36"/>
      <c r="T11" s="16">
        <v>3</v>
      </c>
      <c r="U11" s="20">
        <v>1.5</v>
      </c>
      <c r="V11" s="33"/>
      <c r="W11" s="33"/>
      <c r="Y11" s="33"/>
    </row>
    <row r="12" spans="2:30" x14ac:dyDescent="0.25">
      <c r="S12" s="35" t="s">
        <v>7</v>
      </c>
      <c r="T12" s="49">
        <v>1</v>
      </c>
      <c r="U12" s="18">
        <v>1</v>
      </c>
      <c r="V12" s="32">
        <v>4200</v>
      </c>
      <c r="W12" s="32" t="s">
        <v>28</v>
      </c>
      <c r="Y12" s="32">
        <f>V12/7/8</f>
        <v>75</v>
      </c>
    </row>
    <row r="13" spans="2:30" ht="14.4" thickBot="1" x14ac:dyDescent="0.3">
      <c r="S13" s="36"/>
      <c r="T13" s="16">
        <v>4</v>
      </c>
      <c r="U13" s="20">
        <v>3</v>
      </c>
      <c r="V13" s="33"/>
      <c r="W13" s="33"/>
      <c r="Y13" s="33"/>
    </row>
    <row r="14" spans="2:30" x14ac:dyDescent="0.25">
      <c r="F14" s="29"/>
      <c r="G14" s="31" t="s">
        <v>38</v>
      </c>
      <c r="H14" s="28"/>
      <c r="J14" s="7"/>
      <c r="K14" s="7"/>
      <c r="L14" s="7"/>
      <c r="N14" s="7"/>
      <c r="O14" s="7"/>
      <c r="P14" s="7"/>
      <c r="S14" s="35" t="s">
        <v>15</v>
      </c>
      <c r="T14" s="14">
        <v>5</v>
      </c>
      <c r="U14" s="18">
        <v>1.5</v>
      </c>
      <c r="V14" s="32">
        <v>720</v>
      </c>
      <c r="W14" s="32" t="s">
        <v>18</v>
      </c>
      <c r="Y14" s="32">
        <f>V14/8</f>
        <v>90</v>
      </c>
    </row>
    <row r="15" spans="2:30" ht="14.4" thickBot="1" x14ac:dyDescent="0.3">
      <c r="F15" s="39" t="s">
        <v>3</v>
      </c>
      <c r="G15" s="40"/>
      <c r="H15" s="41"/>
      <c r="J15" s="8"/>
      <c r="K15" s="8"/>
      <c r="L15" s="8"/>
      <c r="N15" s="8"/>
      <c r="O15" s="8"/>
      <c r="P15" s="8"/>
      <c r="S15" s="36"/>
      <c r="T15" s="16">
        <v>6</v>
      </c>
      <c r="U15" s="20">
        <v>1</v>
      </c>
      <c r="V15" s="33"/>
      <c r="W15" s="33"/>
      <c r="Y15" s="33"/>
    </row>
    <row r="16" spans="2:30" ht="14.4" thickBot="1" x14ac:dyDescent="0.3">
      <c r="F16" s="42"/>
      <c r="G16" s="43"/>
      <c r="H16" s="44"/>
      <c r="J16" s="8"/>
      <c r="K16" s="8"/>
      <c r="L16" s="8"/>
      <c r="N16" s="8"/>
      <c r="O16" s="8"/>
      <c r="P16" s="8"/>
      <c r="S16" s="13" t="s">
        <v>8</v>
      </c>
      <c r="T16" s="13">
        <v>2</v>
      </c>
      <c r="U16" s="21">
        <v>1.5</v>
      </c>
      <c r="V16" s="23">
        <v>80</v>
      </c>
      <c r="W16" s="26" t="s">
        <v>25</v>
      </c>
      <c r="Y16" s="26">
        <f>V16</f>
        <v>80</v>
      </c>
    </row>
    <row r="17" spans="3:25" ht="14.4" thickBot="1" x14ac:dyDescent="0.3">
      <c r="F17" s="4">
        <v>4</v>
      </c>
      <c r="G17" s="5"/>
      <c r="H17" s="6"/>
      <c r="J17" s="7"/>
      <c r="K17" s="7"/>
      <c r="L17" s="7"/>
      <c r="N17" s="7"/>
      <c r="O17" s="7"/>
      <c r="P17" s="7"/>
      <c r="S17" s="35" t="s">
        <v>9</v>
      </c>
      <c r="T17" s="14">
        <v>6</v>
      </c>
      <c r="U17" s="18">
        <v>2</v>
      </c>
      <c r="V17" s="32">
        <v>6000</v>
      </c>
      <c r="W17" s="32" t="s">
        <v>29</v>
      </c>
      <c r="Y17" s="32">
        <f>V17/15/8</f>
        <v>50</v>
      </c>
    </row>
    <row r="18" spans="3:25" ht="14.4" thickBot="1" x14ac:dyDescent="0.3">
      <c r="S18" s="36"/>
      <c r="T18" s="16">
        <v>7</v>
      </c>
      <c r="U18" s="20">
        <v>3</v>
      </c>
      <c r="V18" s="33"/>
      <c r="W18" s="33"/>
      <c r="Y18" s="33"/>
    </row>
    <row r="19" spans="3:25" x14ac:dyDescent="0.25">
      <c r="C19" t="s">
        <v>36</v>
      </c>
      <c r="S19" s="37" t="s">
        <v>16</v>
      </c>
      <c r="T19" s="50">
        <v>1</v>
      </c>
      <c r="U19" s="22">
        <v>3</v>
      </c>
      <c r="V19" s="32">
        <v>320</v>
      </c>
      <c r="W19" s="32" t="s">
        <v>18</v>
      </c>
      <c r="Y19" s="32">
        <f>V19/8</f>
        <v>40</v>
      </c>
    </row>
    <row r="20" spans="3:25" x14ac:dyDescent="0.25">
      <c r="C20" t="s">
        <v>55</v>
      </c>
      <c r="S20" s="38"/>
      <c r="T20" s="15">
        <v>4</v>
      </c>
      <c r="U20" s="19">
        <v>4.5</v>
      </c>
      <c r="V20" s="34"/>
      <c r="W20" s="34"/>
      <c r="Y20" s="34"/>
    </row>
    <row r="21" spans="3:25" ht="14.4" thickBot="1" x14ac:dyDescent="0.3">
      <c r="C21" t="s">
        <v>50</v>
      </c>
      <c r="S21" s="36"/>
      <c r="T21" s="16">
        <v>7</v>
      </c>
      <c r="U21" s="20">
        <v>4</v>
      </c>
      <c r="V21" s="33"/>
      <c r="W21" s="33"/>
      <c r="Y21" s="33"/>
    </row>
    <row r="23" spans="3:25" ht="14.4" thickBot="1" x14ac:dyDescent="0.3">
      <c r="C23" t="s">
        <v>48</v>
      </c>
    </row>
    <row r="24" spans="3:25" ht="14.4" thickBot="1" x14ac:dyDescent="0.3">
      <c r="S24" s="11" t="s">
        <v>23</v>
      </c>
      <c r="T24" s="25" t="s">
        <v>26</v>
      </c>
    </row>
    <row r="25" spans="3:25" x14ac:dyDescent="0.25">
      <c r="C25" t="s">
        <v>51</v>
      </c>
      <c r="S25" s="12" t="s">
        <v>19</v>
      </c>
      <c r="T25" s="24" t="s">
        <v>25</v>
      </c>
    </row>
    <row r="26" spans="3:25" x14ac:dyDescent="0.25">
      <c r="S26" s="2" t="s">
        <v>20</v>
      </c>
      <c r="T26" s="3" t="s">
        <v>18</v>
      </c>
    </row>
    <row r="27" spans="3:25" x14ac:dyDescent="0.25">
      <c r="C27" t="s">
        <v>49</v>
      </c>
      <c r="S27" s="2" t="s">
        <v>21</v>
      </c>
      <c r="T27" s="3" t="s">
        <v>18</v>
      </c>
    </row>
    <row r="28" spans="3:25" ht="14.4" thickBot="1" x14ac:dyDescent="0.3">
      <c r="C28" t="s">
        <v>53</v>
      </c>
      <c r="S28" s="4" t="s">
        <v>22</v>
      </c>
      <c r="T28" s="6" t="s">
        <v>18</v>
      </c>
    </row>
    <row r="30" spans="3:25" x14ac:dyDescent="0.25">
      <c r="C30" t="s">
        <v>52</v>
      </c>
    </row>
  </sheetData>
  <mergeCells count="39">
    <mergeCell ref="B3:D4"/>
    <mergeCell ref="F3:H4"/>
    <mergeCell ref="F9:H10"/>
    <mergeCell ref="F15:H16"/>
    <mergeCell ref="J3:L4"/>
    <mergeCell ref="N3:P4"/>
    <mergeCell ref="S3:S5"/>
    <mergeCell ref="S6:S7"/>
    <mergeCell ref="S8:S9"/>
    <mergeCell ref="S10:S11"/>
    <mergeCell ref="N9:P10"/>
    <mergeCell ref="W3:W5"/>
    <mergeCell ref="W6:W7"/>
    <mergeCell ref="W8:W9"/>
    <mergeCell ref="W10:W11"/>
    <mergeCell ref="W12:W13"/>
    <mergeCell ref="W17:W18"/>
    <mergeCell ref="W19:W21"/>
    <mergeCell ref="S12:S13"/>
    <mergeCell ref="S14:S15"/>
    <mergeCell ref="S17:S18"/>
    <mergeCell ref="S19:S21"/>
    <mergeCell ref="W14:W15"/>
    <mergeCell ref="Y17:Y18"/>
    <mergeCell ref="Y19:Y21"/>
    <mergeCell ref="V3:V5"/>
    <mergeCell ref="V6:V7"/>
    <mergeCell ref="V8:V9"/>
    <mergeCell ref="V10:V11"/>
    <mergeCell ref="V12:V13"/>
    <mergeCell ref="V14:V15"/>
    <mergeCell ref="V17:V18"/>
    <mergeCell ref="V19:V21"/>
    <mergeCell ref="Y3:Y5"/>
    <mergeCell ref="Y6:Y7"/>
    <mergeCell ref="Y8:Y9"/>
    <mergeCell ref="Y10:Y11"/>
    <mergeCell ref="Y12:Y13"/>
    <mergeCell ref="Y14:Y1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8"/>
  <sheetViews>
    <sheetView zoomScale="80" zoomScaleNormal="80" workbookViewId="0">
      <selection activeCell="F17" sqref="F17"/>
    </sheetView>
  </sheetViews>
  <sheetFormatPr defaultRowHeight="13.8" x14ac:dyDescent="0.25"/>
  <cols>
    <col min="1" max="1" width="2.6328125" customWidth="1"/>
    <col min="2" max="2" width="6.36328125" bestFit="1" customWidth="1"/>
    <col min="3" max="3" width="8.1796875" bestFit="1" customWidth="1"/>
    <col min="4" max="4" width="9.6328125" customWidth="1"/>
    <col min="5" max="5" width="10" customWidth="1"/>
    <col min="6" max="6" width="10.26953125" customWidth="1"/>
    <col min="7" max="7" width="12.54296875" bestFit="1" customWidth="1"/>
    <col min="8" max="8" width="11.90625" bestFit="1" customWidth="1"/>
    <col min="9" max="9" width="3" customWidth="1"/>
    <col min="10" max="10" width="11.08984375" bestFit="1" customWidth="1"/>
    <col min="11" max="11" width="16.81640625" bestFit="1" customWidth="1"/>
    <col min="12" max="12" width="15.6328125" bestFit="1" customWidth="1"/>
    <col min="13" max="13" width="12.1796875" bestFit="1" customWidth="1"/>
    <col min="14" max="14" width="9.54296875" bestFit="1" customWidth="1"/>
    <col min="15" max="15" width="3.453125" customWidth="1"/>
    <col min="16" max="16" width="10.1796875" bestFit="1" customWidth="1"/>
  </cols>
  <sheetData>
    <row r="1" spans="2:16" ht="14.4" thickBot="1" x14ac:dyDescent="0.3"/>
    <row r="2" spans="2:16" s="7" customFormat="1" ht="14.4" thickBot="1" x14ac:dyDescent="0.3">
      <c r="B2" s="7" t="s">
        <v>30</v>
      </c>
      <c r="C2" s="7" t="s">
        <v>31</v>
      </c>
      <c r="D2" s="7" t="s">
        <v>32</v>
      </c>
      <c r="E2" s="7" t="s">
        <v>23</v>
      </c>
      <c r="F2" s="7" t="s">
        <v>41</v>
      </c>
      <c r="G2" s="7" t="s">
        <v>34</v>
      </c>
      <c r="H2" s="7" t="s">
        <v>33</v>
      </c>
      <c r="J2" s="13" t="s">
        <v>10</v>
      </c>
      <c r="K2" s="13" t="s">
        <v>35</v>
      </c>
      <c r="L2" s="13" t="s">
        <v>17</v>
      </c>
      <c r="M2" s="13" t="s">
        <v>23</v>
      </c>
      <c r="N2" s="13" t="s">
        <v>24</v>
      </c>
      <c r="O2"/>
      <c r="P2" s="13" t="s">
        <v>39</v>
      </c>
    </row>
    <row r="3" spans="2:16" x14ac:dyDescent="0.25">
      <c r="B3" s="7">
        <v>1</v>
      </c>
      <c r="C3" s="9">
        <f>Fragmento_Custo_DR!AC5</f>
        <v>1</v>
      </c>
      <c r="D3" t="str">
        <f>Fragmento_Custo_DR!AA5</f>
        <v>Nirvana</v>
      </c>
      <c r="E3" s="10">
        <f>Fragmento_Custo_DR!AB5</f>
        <v>75</v>
      </c>
      <c r="F3" s="10">
        <f>E3*C3</f>
        <v>75</v>
      </c>
      <c r="G3" s="10">
        <v>500</v>
      </c>
      <c r="H3" s="10">
        <f>G3+F3</f>
        <v>575</v>
      </c>
      <c r="J3" s="35" t="s">
        <v>11</v>
      </c>
      <c r="K3" s="14">
        <v>1</v>
      </c>
      <c r="L3" s="18">
        <v>1.5</v>
      </c>
      <c r="M3" s="32">
        <v>70</v>
      </c>
      <c r="N3" s="32" t="s">
        <v>25</v>
      </c>
      <c r="P3" s="32"/>
    </row>
    <row r="4" spans="2:16" x14ac:dyDescent="0.25">
      <c r="B4" s="7">
        <v>2</v>
      </c>
      <c r="C4" s="9"/>
      <c r="E4" s="10"/>
      <c r="F4" s="10"/>
      <c r="G4" s="10">
        <v>0</v>
      </c>
      <c r="H4" s="10"/>
      <c r="J4" s="38"/>
      <c r="K4" s="15">
        <v>5</v>
      </c>
      <c r="L4" s="19">
        <v>2</v>
      </c>
      <c r="M4" s="34"/>
      <c r="N4" s="34"/>
      <c r="P4" s="34"/>
    </row>
    <row r="5" spans="2:16" ht="14.4" thickBot="1" x14ac:dyDescent="0.3">
      <c r="B5" s="7">
        <v>3</v>
      </c>
      <c r="C5" s="9"/>
      <c r="E5" s="10"/>
      <c r="F5" s="10"/>
      <c r="G5" s="10">
        <v>650</v>
      </c>
      <c r="H5" s="10"/>
      <c r="J5" s="36"/>
      <c r="K5" s="16">
        <v>6</v>
      </c>
      <c r="L5" s="20">
        <v>2.5</v>
      </c>
      <c r="M5" s="33"/>
      <c r="N5" s="33"/>
      <c r="P5" s="33"/>
    </row>
    <row r="6" spans="2:16" x14ac:dyDescent="0.25">
      <c r="B6" s="7">
        <v>4</v>
      </c>
      <c r="C6" s="9"/>
      <c r="E6" s="10"/>
      <c r="F6" s="10"/>
      <c r="G6" s="10">
        <v>250</v>
      </c>
      <c r="H6" s="10"/>
      <c r="J6" s="35" t="s">
        <v>12</v>
      </c>
      <c r="K6" s="14">
        <v>2</v>
      </c>
      <c r="L6" s="18">
        <v>3.5</v>
      </c>
      <c r="M6" s="32">
        <v>360</v>
      </c>
      <c r="N6" s="32" t="s">
        <v>18</v>
      </c>
      <c r="P6" s="32"/>
    </row>
    <row r="7" spans="2:16" ht="14.4" thickBot="1" x14ac:dyDescent="0.3">
      <c r="B7" s="7">
        <v>5</v>
      </c>
      <c r="C7" s="9"/>
      <c r="E7" s="10"/>
      <c r="F7" s="10"/>
      <c r="G7" s="10">
        <v>0</v>
      </c>
      <c r="H7" s="10"/>
      <c r="J7" s="36"/>
      <c r="K7" s="16">
        <v>3</v>
      </c>
      <c r="L7" s="20">
        <v>2</v>
      </c>
      <c r="M7" s="33"/>
      <c r="N7" s="33"/>
      <c r="P7" s="33"/>
    </row>
    <row r="8" spans="2:16" x14ac:dyDescent="0.25">
      <c r="B8" s="7">
        <v>6</v>
      </c>
      <c r="C8" s="9"/>
      <c r="E8" s="10"/>
      <c r="F8" s="10"/>
      <c r="G8" s="10">
        <v>1000</v>
      </c>
      <c r="H8" s="10"/>
      <c r="J8" s="35" t="s">
        <v>13</v>
      </c>
      <c r="K8" s="14">
        <v>3</v>
      </c>
      <c r="L8" s="18">
        <v>2.5</v>
      </c>
      <c r="M8" s="32">
        <v>8400</v>
      </c>
      <c r="N8" s="32" t="s">
        <v>27</v>
      </c>
      <c r="P8" s="32"/>
    </row>
    <row r="9" spans="2:16" ht="14.4" thickBot="1" x14ac:dyDescent="0.3">
      <c r="B9" s="7">
        <v>7</v>
      </c>
      <c r="C9" s="9"/>
      <c r="E9" s="10"/>
      <c r="F9" s="10"/>
      <c r="G9" s="10">
        <v>390</v>
      </c>
      <c r="H9" s="10"/>
      <c r="J9" s="36"/>
      <c r="K9" s="16">
        <v>4</v>
      </c>
      <c r="L9" s="20">
        <v>5</v>
      </c>
      <c r="M9" s="33"/>
      <c r="N9" s="33"/>
      <c r="P9" s="33"/>
    </row>
    <row r="10" spans="2:16" x14ac:dyDescent="0.25">
      <c r="B10" s="45" t="s">
        <v>40</v>
      </c>
      <c r="C10" s="45"/>
      <c r="D10" s="45"/>
      <c r="E10" s="45"/>
      <c r="F10" s="45"/>
      <c r="G10" s="45"/>
      <c r="H10" s="30">
        <f>SUM(H3:H9)</f>
        <v>575</v>
      </c>
      <c r="J10" s="35" t="s">
        <v>14</v>
      </c>
      <c r="K10" s="14">
        <v>1</v>
      </c>
      <c r="L10" s="18">
        <v>2</v>
      </c>
      <c r="M10" s="32">
        <v>55</v>
      </c>
      <c r="N10" s="32" t="s">
        <v>25</v>
      </c>
      <c r="P10" s="32"/>
    </row>
    <row r="11" spans="2:16" ht="14.4" thickBot="1" x14ac:dyDescent="0.3">
      <c r="J11" s="36"/>
      <c r="K11" s="16">
        <v>3</v>
      </c>
      <c r="L11" s="20">
        <v>1.5</v>
      </c>
      <c r="M11" s="33"/>
      <c r="N11" s="33"/>
      <c r="P11" s="33"/>
    </row>
    <row r="12" spans="2:16" x14ac:dyDescent="0.25">
      <c r="H12" s="10"/>
      <c r="J12" s="35" t="s">
        <v>7</v>
      </c>
      <c r="K12" s="14">
        <v>1</v>
      </c>
      <c r="L12" s="18">
        <v>1</v>
      </c>
      <c r="M12" s="32">
        <v>4200</v>
      </c>
      <c r="N12" s="32" t="s">
        <v>28</v>
      </c>
      <c r="P12" s="32"/>
    </row>
    <row r="13" spans="2:16" ht="14.4" thickBot="1" x14ac:dyDescent="0.3">
      <c r="H13" s="10"/>
      <c r="J13" s="36"/>
      <c r="K13" s="16">
        <v>4</v>
      </c>
      <c r="L13" s="20">
        <v>3</v>
      </c>
      <c r="M13" s="33"/>
      <c r="N13" s="33"/>
      <c r="P13" s="33"/>
    </row>
    <row r="14" spans="2:16" x14ac:dyDescent="0.25">
      <c r="H14" s="10"/>
      <c r="J14" s="35" t="s">
        <v>15</v>
      </c>
      <c r="K14" s="14">
        <v>5</v>
      </c>
      <c r="L14" s="18">
        <v>1.5</v>
      </c>
      <c r="M14" s="32">
        <v>720</v>
      </c>
      <c r="N14" s="32" t="s">
        <v>18</v>
      </c>
      <c r="P14" s="32"/>
    </row>
    <row r="15" spans="2:16" ht="14.4" thickBot="1" x14ac:dyDescent="0.3">
      <c r="J15" s="36"/>
      <c r="K15" s="16">
        <v>6</v>
      </c>
      <c r="L15" s="20">
        <v>1</v>
      </c>
      <c r="M15" s="33"/>
      <c r="N15" s="33"/>
      <c r="P15" s="33"/>
    </row>
    <row r="16" spans="2:16" ht="14.4" thickBot="1" x14ac:dyDescent="0.3">
      <c r="J16" s="13" t="s">
        <v>8</v>
      </c>
      <c r="K16" s="13">
        <v>2</v>
      </c>
      <c r="L16" s="21">
        <v>1.5</v>
      </c>
      <c r="M16" s="23">
        <v>80</v>
      </c>
      <c r="N16" s="26" t="s">
        <v>25</v>
      </c>
      <c r="P16" s="26"/>
    </row>
    <row r="17" spans="10:16" x14ac:dyDescent="0.25">
      <c r="J17" s="35" t="s">
        <v>9</v>
      </c>
      <c r="K17" s="14">
        <v>6</v>
      </c>
      <c r="L17" s="18">
        <v>2</v>
      </c>
      <c r="M17" s="32">
        <v>6000</v>
      </c>
      <c r="N17" s="32" t="s">
        <v>29</v>
      </c>
      <c r="P17" s="32"/>
    </row>
    <row r="18" spans="10:16" ht="14.4" thickBot="1" x14ac:dyDescent="0.3">
      <c r="J18" s="36"/>
      <c r="K18" s="16">
        <v>7</v>
      </c>
      <c r="L18" s="20">
        <v>3</v>
      </c>
      <c r="M18" s="33"/>
      <c r="N18" s="33"/>
      <c r="P18" s="33"/>
    </row>
    <row r="19" spans="10:16" x14ac:dyDescent="0.25">
      <c r="J19" s="37" t="s">
        <v>16</v>
      </c>
      <c r="K19" s="17">
        <v>1</v>
      </c>
      <c r="L19" s="22">
        <v>3</v>
      </c>
      <c r="M19" s="32">
        <v>320</v>
      </c>
      <c r="N19" s="32" t="s">
        <v>18</v>
      </c>
      <c r="P19" s="32"/>
    </row>
    <row r="20" spans="10:16" x14ac:dyDescent="0.25">
      <c r="J20" s="38"/>
      <c r="K20" s="15">
        <v>4</v>
      </c>
      <c r="L20" s="19">
        <v>4.5</v>
      </c>
      <c r="M20" s="34"/>
      <c r="N20" s="34"/>
      <c r="P20" s="34"/>
    </row>
    <row r="21" spans="10:16" ht="14.4" thickBot="1" x14ac:dyDescent="0.3">
      <c r="J21" s="36"/>
      <c r="K21" s="16">
        <v>7</v>
      </c>
      <c r="L21" s="20">
        <v>4</v>
      </c>
      <c r="M21" s="33"/>
      <c r="N21" s="33"/>
      <c r="P21" s="33"/>
    </row>
    <row r="22" spans="10:16" x14ac:dyDescent="0.25">
      <c r="K22" s="7"/>
    </row>
    <row r="23" spans="10:16" ht="14.4" thickBot="1" x14ac:dyDescent="0.3">
      <c r="K23" s="7"/>
    </row>
    <row r="24" spans="10:16" ht="14.4" thickBot="1" x14ac:dyDescent="0.3">
      <c r="J24" s="11" t="s">
        <v>23</v>
      </c>
      <c r="K24" s="25" t="s">
        <v>26</v>
      </c>
    </row>
    <row r="25" spans="10:16" x14ac:dyDescent="0.25">
      <c r="J25" s="12" t="s">
        <v>19</v>
      </c>
      <c r="K25" s="24" t="s">
        <v>25</v>
      </c>
    </row>
    <row r="26" spans="10:16" x14ac:dyDescent="0.25">
      <c r="J26" s="2" t="s">
        <v>20</v>
      </c>
      <c r="K26" s="3" t="s">
        <v>18</v>
      </c>
    </row>
    <row r="27" spans="10:16" x14ac:dyDescent="0.25">
      <c r="J27" s="2" t="s">
        <v>21</v>
      </c>
      <c r="K27" s="3" t="s">
        <v>18</v>
      </c>
    </row>
    <row r="28" spans="10:16" ht="14.4" thickBot="1" x14ac:dyDescent="0.3">
      <c r="J28" s="4" t="s">
        <v>22</v>
      </c>
      <c r="K28" s="6" t="s">
        <v>18</v>
      </c>
    </row>
  </sheetData>
  <mergeCells count="33">
    <mergeCell ref="J19:J21"/>
    <mergeCell ref="M19:M21"/>
    <mergeCell ref="N19:N21"/>
    <mergeCell ref="P19:P21"/>
    <mergeCell ref="J14:J15"/>
    <mergeCell ref="M14:M15"/>
    <mergeCell ref="N14:N15"/>
    <mergeCell ref="P14:P15"/>
    <mergeCell ref="J17:J18"/>
    <mergeCell ref="M17:M18"/>
    <mergeCell ref="N17:N18"/>
    <mergeCell ref="P17:P18"/>
    <mergeCell ref="P10:P11"/>
    <mergeCell ref="J12:J13"/>
    <mergeCell ref="M12:M13"/>
    <mergeCell ref="N12:N13"/>
    <mergeCell ref="P12:P13"/>
    <mergeCell ref="B10:G10"/>
    <mergeCell ref="J3:J5"/>
    <mergeCell ref="M3:M5"/>
    <mergeCell ref="N3:N5"/>
    <mergeCell ref="P3:P5"/>
    <mergeCell ref="J6:J7"/>
    <mergeCell ref="M6:M7"/>
    <mergeCell ref="N6:N7"/>
    <mergeCell ref="P6:P7"/>
    <mergeCell ref="J8:J9"/>
    <mergeCell ref="M8:M9"/>
    <mergeCell ref="N8:N9"/>
    <mergeCell ref="P8:P9"/>
    <mergeCell ref="J10:J11"/>
    <mergeCell ref="M10:M11"/>
    <mergeCell ref="N10:N1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30"/>
  <sheetViews>
    <sheetView zoomScale="80" zoomScaleNormal="80" workbookViewId="0"/>
  </sheetViews>
  <sheetFormatPr defaultRowHeight="13.8" x14ac:dyDescent="0.25"/>
  <cols>
    <col min="1" max="1" width="3.1796875" customWidth="1"/>
    <col min="2" max="2" width="2.453125" customWidth="1"/>
    <col min="4" max="4" width="4.08984375" customWidth="1"/>
    <col min="5" max="5" width="2.36328125" customWidth="1"/>
    <col min="6" max="6" width="3.54296875" bestFit="1" customWidth="1"/>
    <col min="8" max="8" width="4.08984375" customWidth="1"/>
    <col min="9" max="9" width="2.54296875" customWidth="1"/>
    <col min="10" max="10" width="3.54296875" bestFit="1" customWidth="1"/>
    <col min="12" max="12" width="4.08984375" customWidth="1"/>
    <col min="13" max="13" width="2.54296875" customWidth="1"/>
    <col min="14" max="14" width="3.54296875" bestFit="1" customWidth="1"/>
    <col min="16" max="16" width="4.90625" customWidth="1"/>
    <col min="17" max="17" width="2.08984375" customWidth="1"/>
    <col min="18" max="18" width="2.36328125" customWidth="1"/>
    <col min="19" max="19" width="11.08984375" bestFit="1" customWidth="1"/>
    <col min="20" max="20" width="16.6328125" style="7" bestFit="1" customWidth="1"/>
    <col min="21" max="21" width="15.54296875" bestFit="1" customWidth="1"/>
    <col min="22" max="22" width="11.90625" bestFit="1" customWidth="1"/>
    <col min="23" max="23" width="9.81640625" bestFit="1" customWidth="1"/>
    <col min="24" max="24" width="2.36328125" customWidth="1"/>
    <col min="25" max="25" width="10.08984375" bestFit="1" customWidth="1"/>
    <col min="26" max="26" width="2.54296875" customWidth="1"/>
  </cols>
  <sheetData>
    <row r="1" spans="2:25" ht="14.4" thickBot="1" x14ac:dyDescent="0.3"/>
    <row r="2" spans="2:25" ht="14.4" thickBot="1" x14ac:dyDescent="0.3">
      <c r="B2" s="1">
        <v>0</v>
      </c>
      <c r="C2" s="31" t="s">
        <v>37</v>
      </c>
      <c r="D2" s="28"/>
      <c r="F2" s="29"/>
      <c r="G2" s="31" t="s">
        <v>38</v>
      </c>
      <c r="H2" s="28"/>
      <c r="J2" s="29"/>
      <c r="K2" s="31" t="s">
        <v>38</v>
      </c>
      <c r="L2" s="28"/>
      <c r="N2" s="29"/>
      <c r="O2" s="31" t="s">
        <v>38</v>
      </c>
      <c r="P2" s="28"/>
      <c r="S2" s="13" t="s">
        <v>10</v>
      </c>
      <c r="T2" s="13" t="s">
        <v>35</v>
      </c>
      <c r="U2" s="13" t="s">
        <v>17</v>
      </c>
      <c r="V2" s="13" t="s">
        <v>23</v>
      </c>
      <c r="W2" s="13" t="s">
        <v>24</v>
      </c>
      <c r="Y2" s="13" t="s">
        <v>39</v>
      </c>
    </row>
    <row r="3" spans="2:25" x14ac:dyDescent="0.25">
      <c r="B3" s="39" t="s">
        <v>0</v>
      </c>
      <c r="C3" s="40"/>
      <c r="D3" s="41"/>
      <c r="F3" s="39" t="s">
        <v>1</v>
      </c>
      <c r="G3" s="40"/>
      <c r="H3" s="41"/>
      <c r="J3" s="39" t="s">
        <v>4</v>
      </c>
      <c r="K3" s="40"/>
      <c r="L3" s="41"/>
      <c r="N3" s="39" t="s">
        <v>5</v>
      </c>
      <c r="O3" s="40"/>
      <c r="P3" s="41"/>
      <c r="S3" s="35" t="s">
        <v>11</v>
      </c>
      <c r="T3" s="14">
        <v>1</v>
      </c>
      <c r="U3" s="18">
        <v>1.5</v>
      </c>
      <c r="V3" s="32">
        <v>70</v>
      </c>
      <c r="W3" s="32" t="s">
        <v>25</v>
      </c>
      <c r="Y3" s="32"/>
    </row>
    <row r="4" spans="2:25" x14ac:dyDescent="0.25">
      <c r="B4" s="42"/>
      <c r="C4" s="43"/>
      <c r="D4" s="44"/>
      <c r="F4" s="42"/>
      <c r="G4" s="43"/>
      <c r="H4" s="44"/>
      <c r="J4" s="42"/>
      <c r="K4" s="43"/>
      <c r="L4" s="44"/>
      <c r="N4" s="42"/>
      <c r="O4" s="43"/>
      <c r="P4" s="44"/>
      <c r="S4" s="38"/>
      <c r="T4" s="15">
        <v>5</v>
      </c>
      <c r="U4" s="19">
        <v>2</v>
      </c>
      <c r="V4" s="34"/>
      <c r="W4" s="34"/>
      <c r="Y4" s="34"/>
    </row>
    <row r="5" spans="2:25" ht="14.4" thickBot="1" x14ac:dyDescent="0.3">
      <c r="B5" s="4">
        <v>1</v>
      </c>
      <c r="C5" s="5"/>
      <c r="D5" s="27"/>
      <c r="F5" s="4">
        <v>2</v>
      </c>
      <c r="G5" s="5"/>
      <c r="H5" s="6"/>
      <c r="J5" s="4">
        <v>5</v>
      </c>
      <c r="K5" s="5"/>
      <c r="L5" s="27"/>
      <c r="N5" s="4">
        <v>6</v>
      </c>
      <c r="O5" s="5"/>
      <c r="P5" s="27"/>
      <c r="S5" s="36"/>
      <c r="T5" s="16">
        <v>6</v>
      </c>
      <c r="U5" s="20">
        <v>2.5</v>
      </c>
      <c r="V5" s="33"/>
      <c r="W5" s="33"/>
      <c r="Y5" s="33"/>
    </row>
    <row r="6" spans="2:25" x14ac:dyDescent="0.25">
      <c r="S6" s="35" t="s">
        <v>12</v>
      </c>
      <c r="T6" s="14">
        <v>2</v>
      </c>
      <c r="U6" s="18">
        <v>3.5</v>
      </c>
      <c r="V6" s="32">
        <v>360</v>
      </c>
      <c r="W6" s="32" t="s">
        <v>18</v>
      </c>
      <c r="Y6" s="32"/>
    </row>
    <row r="7" spans="2:25" ht="14.4" thickBot="1" x14ac:dyDescent="0.3">
      <c r="S7" s="36"/>
      <c r="T7" s="16">
        <v>3</v>
      </c>
      <c r="U7" s="20">
        <v>2</v>
      </c>
      <c r="V7" s="33"/>
      <c r="W7" s="33"/>
      <c r="Y7" s="33"/>
    </row>
    <row r="8" spans="2:25" x14ac:dyDescent="0.25">
      <c r="F8" s="29"/>
      <c r="G8" s="31" t="s">
        <v>38</v>
      </c>
      <c r="H8" s="28"/>
      <c r="N8" s="29"/>
      <c r="O8" s="31" t="s">
        <v>38</v>
      </c>
      <c r="P8" s="28"/>
      <c r="S8" s="35" t="s">
        <v>13</v>
      </c>
      <c r="T8" s="14">
        <v>3</v>
      </c>
      <c r="U8" s="18">
        <v>2.5</v>
      </c>
      <c r="V8" s="32">
        <v>8400</v>
      </c>
      <c r="W8" s="32" t="s">
        <v>27</v>
      </c>
      <c r="Y8" s="32"/>
    </row>
    <row r="9" spans="2:25" ht="14.4" thickBot="1" x14ac:dyDescent="0.3">
      <c r="F9" s="39" t="s">
        <v>2</v>
      </c>
      <c r="G9" s="40"/>
      <c r="H9" s="41"/>
      <c r="N9" s="39" t="s">
        <v>6</v>
      </c>
      <c r="O9" s="40"/>
      <c r="P9" s="41"/>
      <c r="S9" s="36"/>
      <c r="T9" s="16">
        <v>4</v>
      </c>
      <c r="U9" s="20">
        <v>5</v>
      </c>
      <c r="V9" s="33"/>
      <c r="W9" s="33"/>
      <c r="Y9" s="33"/>
    </row>
    <row r="10" spans="2:25" x14ac:dyDescent="0.25">
      <c r="F10" s="42"/>
      <c r="G10" s="43"/>
      <c r="H10" s="44"/>
      <c r="N10" s="42"/>
      <c r="O10" s="43"/>
      <c r="P10" s="44"/>
      <c r="S10" s="35" t="s">
        <v>14</v>
      </c>
      <c r="T10" s="14">
        <v>1</v>
      </c>
      <c r="U10" s="18">
        <v>2</v>
      </c>
      <c r="V10" s="32">
        <v>55</v>
      </c>
      <c r="W10" s="32" t="s">
        <v>25</v>
      </c>
      <c r="Y10" s="32"/>
    </row>
    <row r="11" spans="2:25" ht="14.4" thickBot="1" x14ac:dyDescent="0.3">
      <c r="F11" s="4">
        <v>3</v>
      </c>
      <c r="G11" s="5"/>
      <c r="H11" s="6"/>
      <c r="N11" s="4">
        <v>7</v>
      </c>
      <c r="O11" s="5"/>
      <c r="P11" s="27"/>
      <c r="S11" s="36"/>
      <c r="T11" s="16">
        <v>3</v>
      </c>
      <c r="U11" s="20">
        <v>1.5</v>
      </c>
      <c r="V11" s="33"/>
      <c r="W11" s="33"/>
      <c r="Y11" s="33"/>
    </row>
    <row r="12" spans="2:25" x14ac:dyDescent="0.25">
      <c r="S12" s="35" t="s">
        <v>7</v>
      </c>
      <c r="T12" s="14">
        <v>1</v>
      </c>
      <c r="U12" s="18">
        <v>1</v>
      </c>
      <c r="V12" s="32">
        <v>4200</v>
      </c>
      <c r="W12" s="32" t="s">
        <v>28</v>
      </c>
      <c r="Y12" s="32"/>
    </row>
    <row r="13" spans="2:25" ht="14.4" thickBot="1" x14ac:dyDescent="0.3">
      <c r="S13" s="36"/>
      <c r="T13" s="16">
        <v>4</v>
      </c>
      <c r="U13" s="20">
        <v>3</v>
      </c>
      <c r="V13" s="33"/>
      <c r="W13" s="33"/>
      <c r="Y13" s="33"/>
    </row>
    <row r="14" spans="2:25" x14ac:dyDescent="0.25">
      <c r="F14" s="29"/>
      <c r="G14" s="31" t="s">
        <v>38</v>
      </c>
      <c r="H14" s="28"/>
      <c r="J14" s="7"/>
      <c r="K14" s="7"/>
      <c r="L14" s="7"/>
      <c r="N14" s="7"/>
      <c r="O14" s="7"/>
      <c r="P14" s="7"/>
      <c r="S14" s="35" t="s">
        <v>15</v>
      </c>
      <c r="T14" s="14">
        <v>5</v>
      </c>
      <c r="U14" s="18">
        <v>1.5</v>
      </c>
      <c r="V14" s="32">
        <v>720</v>
      </c>
      <c r="W14" s="32" t="s">
        <v>18</v>
      </c>
      <c r="Y14" s="32"/>
    </row>
    <row r="15" spans="2:25" ht="14.4" thickBot="1" x14ac:dyDescent="0.3">
      <c r="F15" s="39" t="s">
        <v>3</v>
      </c>
      <c r="G15" s="40"/>
      <c r="H15" s="41"/>
      <c r="J15" s="8"/>
      <c r="K15" s="8"/>
      <c r="L15" s="8"/>
      <c r="N15" s="8"/>
      <c r="O15" s="8"/>
      <c r="P15" s="8"/>
      <c r="S15" s="36"/>
      <c r="T15" s="16">
        <v>6</v>
      </c>
      <c r="U15" s="20">
        <v>1</v>
      </c>
      <c r="V15" s="33"/>
      <c r="W15" s="33"/>
      <c r="Y15" s="33"/>
    </row>
    <row r="16" spans="2:25" ht="14.4" thickBot="1" x14ac:dyDescent="0.3">
      <c r="F16" s="42"/>
      <c r="G16" s="43"/>
      <c r="H16" s="44"/>
      <c r="J16" s="8"/>
      <c r="K16" s="8"/>
      <c r="L16" s="8"/>
      <c r="N16" s="8"/>
      <c r="O16" s="8"/>
      <c r="P16" s="8"/>
      <c r="S16" s="13" t="s">
        <v>8</v>
      </c>
      <c r="T16" s="13">
        <v>2</v>
      </c>
      <c r="U16" s="21">
        <v>1.5</v>
      </c>
      <c r="V16" s="23">
        <v>80</v>
      </c>
      <c r="W16" s="26" t="s">
        <v>25</v>
      </c>
      <c r="Y16" s="26"/>
    </row>
    <row r="17" spans="3:25" ht="14.4" thickBot="1" x14ac:dyDescent="0.3">
      <c r="F17" s="4">
        <v>4</v>
      </c>
      <c r="G17" s="5"/>
      <c r="H17" s="6"/>
      <c r="J17" s="7"/>
      <c r="K17" s="7"/>
      <c r="L17" s="7"/>
      <c r="N17" s="7"/>
      <c r="O17" s="7"/>
      <c r="P17" s="7"/>
      <c r="S17" s="35" t="s">
        <v>9</v>
      </c>
      <c r="T17" s="14">
        <v>6</v>
      </c>
      <c r="U17" s="18">
        <v>2</v>
      </c>
      <c r="V17" s="32">
        <v>6000</v>
      </c>
      <c r="W17" s="32" t="s">
        <v>29</v>
      </c>
      <c r="Y17" s="32"/>
    </row>
    <row r="18" spans="3:25" ht="14.4" thickBot="1" x14ac:dyDescent="0.3">
      <c r="S18" s="36"/>
      <c r="T18" s="16">
        <v>7</v>
      </c>
      <c r="U18" s="20">
        <v>3</v>
      </c>
      <c r="V18" s="33"/>
      <c r="W18" s="33"/>
      <c r="Y18" s="33"/>
    </row>
    <row r="19" spans="3:25" x14ac:dyDescent="0.25">
      <c r="C19" t="s">
        <v>36</v>
      </c>
      <c r="S19" s="37" t="s">
        <v>16</v>
      </c>
      <c r="T19" s="17">
        <v>1</v>
      </c>
      <c r="U19" s="22">
        <v>3</v>
      </c>
      <c r="V19" s="32">
        <v>320</v>
      </c>
      <c r="W19" s="32" t="s">
        <v>18</v>
      </c>
      <c r="Y19" s="32"/>
    </row>
    <row r="20" spans="3:25" x14ac:dyDescent="0.25">
      <c r="C20" t="s">
        <v>55</v>
      </c>
      <c r="S20" s="38"/>
      <c r="T20" s="15">
        <v>4</v>
      </c>
      <c r="U20" s="19">
        <v>4.5</v>
      </c>
      <c r="V20" s="34"/>
      <c r="W20" s="34"/>
      <c r="Y20" s="34"/>
    </row>
    <row r="21" spans="3:25" ht="14.4" thickBot="1" x14ac:dyDescent="0.3">
      <c r="C21" t="s">
        <v>50</v>
      </c>
      <c r="S21" s="36"/>
      <c r="T21" s="16">
        <v>7</v>
      </c>
      <c r="U21" s="20">
        <v>4</v>
      </c>
      <c r="V21" s="33"/>
      <c r="W21" s="33"/>
      <c r="Y21" s="33"/>
    </row>
    <row r="23" spans="3:25" ht="14.4" thickBot="1" x14ac:dyDescent="0.3">
      <c r="C23" t="s">
        <v>48</v>
      </c>
    </row>
    <row r="24" spans="3:25" ht="14.4" thickBot="1" x14ac:dyDescent="0.3">
      <c r="S24" s="11" t="s">
        <v>23</v>
      </c>
      <c r="T24" s="25" t="s">
        <v>26</v>
      </c>
    </row>
    <row r="25" spans="3:25" x14ac:dyDescent="0.25">
      <c r="C25" t="s">
        <v>51</v>
      </c>
      <c r="S25" s="12" t="s">
        <v>19</v>
      </c>
      <c r="T25" s="24" t="s">
        <v>25</v>
      </c>
    </row>
    <row r="26" spans="3:25" x14ac:dyDescent="0.25">
      <c r="S26" s="2" t="s">
        <v>20</v>
      </c>
      <c r="T26" s="3" t="s">
        <v>18</v>
      </c>
    </row>
    <row r="27" spans="3:25" x14ac:dyDescent="0.25">
      <c r="C27" t="s">
        <v>49</v>
      </c>
      <c r="S27" s="2" t="s">
        <v>21</v>
      </c>
      <c r="T27" s="3" t="s">
        <v>18</v>
      </c>
    </row>
    <row r="28" spans="3:25" ht="14.4" thickBot="1" x14ac:dyDescent="0.3">
      <c r="C28" t="s">
        <v>54</v>
      </c>
      <c r="S28" s="4" t="s">
        <v>22</v>
      </c>
      <c r="T28" s="6" t="s">
        <v>18</v>
      </c>
    </row>
    <row r="30" spans="3:25" x14ac:dyDescent="0.25">
      <c r="C30" t="s">
        <v>52</v>
      </c>
    </row>
  </sheetData>
  <mergeCells count="39">
    <mergeCell ref="F15:H16"/>
    <mergeCell ref="S17:S18"/>
    <mergeCell ref="V17:V18"/>
    <mergeCell ref="W17:W18"/>
    <mergeCell ref="Y17:Y18"/>
    <mergeCell ref="S19:S21"/>
    <mergeCell ref="V19:V21"/>
    <mergeCell ref="W19:W21"/>
    <mergeCell ref="Y19:Y21"/>
    <mergeCell ref="S12:S13"/>
    <mergeCell ref="V12:V13"/>
    <mergeCell ref="W12:W13"/>
    <mergeCell ref="Y12:Y13"/>
    <mergeCell ref="S14:S15"/>
    <mergeCell ref="V14:V15"/>
    <mergeCell ref="W14:W15"/>
    <mergeCell ref="Y14:Y15"/>
    <mergeCell ref="S8:S9"/>
    <mergeCell ref="V8:V9"/>
    <mergeCell ref="W8:W9"/>
    <mergeCell ref="Y8:Y9"/>
    <mergeCell ref="F9:H10"/>
    <mergeCell ref="N9:P10"/>
    <mergeCell ref="S10:S11"/>
    <mergeCell ref="V10:V11"/>
    <mergeCell ref="W10:W11"/>
    <mergeCell ref="Y10:Y11"/>
    <mergeCell ref="W3:W5"/>
    <mergeCell ref="Y3:Y5"/>
    <mergeCell ref="S6:S7"/>
    <mergeCell ref="V6:V7"/>
    <mergeCell ref="W6:W7"/>
    <mergeCell ref="Y6:Y7"/>
    <mergeCell ref="V3:V5"/>
    <mergeCell ref="B3:D4"/>
    <mergeCell ref="F3:H4"/>
    <mergeCell ref="J3:L4"/>
    <mergeCell ref="N3:P4"/>
    <mergeCell ref="S3:S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"/>
  <sheetViews>
    <sheetView zoomScale="80" zoomScaleNormal="80" workbookViewId="0"/>
  </sheetViews>
  <sheetFormatPr defaultRowHeight="13.8" x14ac:dyDescent="0.25"/>
  <cols>
    <col min="1" max="1" width="2.81640625" customWidth="1"/>
    <col min="2" max="2" width="6.36328125" bestFit="1" customWidth="1"/>
    <col min="3" max="3" width="8" bestFit="1" customWidth="1"/>
    <col min="4" max="4" width="14.54296875" customWidth="1"/>
    <col min="5" max="5" width="10.08984375" customWidth="1"/>
    <col min="6" max="6" width="10.7265625" customWidth="1"/>
    <col min="7" max="7" width="12.453125" bestFit="1" customWidth="1"/>
    <col min="8" max="8" width="11.54296875" bestFit="1" customWidth="1"/>
    <col min="9" max="9" width="3.26953125" customWidth="1"/>
    <col min="10" max="10" width="11.08984375" bestFit="1" customWidth="1"/>
    <col min="11" max="11" width="16.81640625" bestFit="1" customWidth="1"/>
    <col min="12" max="12" width="15.6328125" bestFit="1" customWidth="1"/>
    <col min="13" max="13" width="12.1796875" bestFit="1" customWidth="1"/>
    <col min="14" max="14" width="9.54296875" bestFit="1" customWidth="1"/>
    <col min="15" max="15" width="3.6328125" customWidth="1"/>
    <col min="16" max="16" width="10.1796875" bestFit="1" customWidth="1"/>
  </cols>
  <sheetData>
    <row r="1" spans="1:16" ht="14.4" thickBot="1" x14ac:dyDescent="0.3"/>
    <row r="2" spans="1:16" ht="14.4" thickBot="1" x14ac:dyDescent="0.3">
      <c r="A2" s="7"/>
      <c r="B2" s="7" t="s">
        <v>30</v>
      </c>
      <c r="C2" s="7" t="s">
        <v>31</v>
      </c>
      <c r="D2" s="7" t="s">
        <v>32</v>
      </c>
      <c r="E2" s="7" t="s">
        <v>23</v>
      </c>
      <c r="F2" s="7" t="s">
        <v>41</v>
      </c>
      <c r="G2" s="7" t="s">
        <v>34</v>
      </c>
      <c r="H2" s="7" t="s">
        <v>33</v>
      </c>
      <c r="J2" s="13" t="s">
        <v>10</v>
      </c>
      <c r="K2" s="13" t="s">
        <v>35</v>
      </c>
      <c r="L2" s="13" t="s">
        <v>17</v>
      </c>
      <c r="M2" s="13" t="s">
        <v>23</v>
      </c>
      <c r="N2" s="13" t="s">
        <v>24</v>
      </c>
      <c r="P2" s="13" t="s">
        <v>39</v>
      </c>
    </row>
    <row r="3" spans="1:16" x14ac:dyDescent="0.25">
      <c r="B3" s="7">
        <v>1</v>
      </c>
      <c r="C3" s="9"/>
      <c r="E3" s="10"/>
      <c r="F3" s="10"/>
      <c r="G3" s="10">
        <v>500</v>
      </c>
      <c r="H3" s="10"/>
      <c r="J3" s="35" t="s">
        <v>11</v>
      </c>
      <c r="K3" s="14">
        <v>1</v>
      </c>
      <c r="L3" s="18">
        <v>1.5</v>
      </c>
      <c r="M3" s="32">
        <v>70</v>
      </c>
      <c r="N3" s="32" t="s">
        <v>25</v>
      </c>
      <c r="P3" s="32"/>
    </row>
    <row r="4" spans="1:16" x14ac:dyDescent="0.25">
      <c r="B4" s="7">
        <v>2</v>
      </c>
      <c r="C4" s="9"/>
      <c r="E4" s="10"/>
      <c r="F4" s="10"/>
      <c r="G4" s="10">
        <v>0</v>
      </c>
      <c r="H4" s="10"/>
      <c r="J4" s="38"/>
      <c r="K4" s="15">
        <v>5</v>
      </c>
      <c r="L4" s="19">
        <v>2</v>
      </c>
      <c r="M4" s="34"/>
      <c r="N4" s="34"/>
      <c r="P4" s="34"/>
    </row>
    <row r="5" spans="1:16" ht="14.4" thickBot="1" x14ac:dyDescent="0.3">
      <c r="B5" s="7">
        <v>3</v>
      </c>
      <c r="C5" s="9"/>
      <c r="E5" s="10"/>
      <c r="F5" s="10"/>
      <c r="G5" s="10">
        <v>650</v>
      </c>
      <c r="H5" s="10"/>
      <c r="J5" s="36"/>
      <c r="K5" s="16">
        <v>6</v>
      </c>
      <c r="L5" s="20">
        <v>2.5</v>
      </c>
      <c r="M5" s="33"/>
      <c r="N5" s="33"/>
      <c r="P5" s="33"/>
    </row>
    <row r="6" spans="1:16" x14ac:dyDescent="0.25">
      <c r="B6" s="7">
        <v>4</v>
      </c>
      <c r="C6" s="9"/>
      <c r="E6" s="10"/>
      <c r="F6" s="10"/>
      <c r="G6" s="10">
        <v>250</v>
      </c>
      <c r="H6" s="10"/>
      <c r="J6" s="35" t="s">
        <v>12</v>
      </c>
      <c r="K6" s="14">
        <v>2</v>
      </c>
      <c r="L6" s="18">
        <v>3.5</v>
      </c>
      <c r="M6" s="32">
        <v>360</v>
      </c>
      <c r="N6" s="32" t="s">
        <v>18</v>
      </c>
      <c r="P6" s="32"/>
    </row>
    <row r="7" spans="1:16" ht="14.4" thickBot="1" x14ac:dyDescent="0.3">
      <c r="B7" s="7">
        <v>5</v>
      </c>
      <c r="C7" s="9"/>
      <c r="E7" s="10"/>
      <c r="F7" s="10"/>
      <c r="G7" s="10">
        <v>0</v>
      </c>
      <c r="H7" s="10"/>
      <c r="J7" s="36"/>
      <c r="K7" s="16">
        <v>3</v>
      </c>
      <c r="L7" s="20">
        <v>2</v>
      </c>
      <c r="M7" s="33"/>
      <c r="N7" s="33"/>
      <c r="P7" s="33"/>
    </row>
    <row r="8" spans="1:16" x14ac:dyDescent="0.25">
      <c r="B8" s="7">
        <v>6</v>
      </c>
      <c r="C8" s="9"/>
      <c r="E8" s="10"/>
      <c r="F8" s="10"/>
      <c r="G8" s="10">
        <v>1000</v>
      </c>
      <c r="H8" s="10"/>
      <c r="J8" s="35" t="s">
        <v>13</v>
      </c>
      <c r="K8" s="14">
        <v>3</v>
      </c>
      <c r="L8" s="18">
        <v>2.5</v>
      </c>
      <c r="M8" s="32">
        <v>8400</v>
      </c>
      <c r="N8" s="32" t="s">
        <v>27</v>
      </c>
      <c r="P8" s="32"/>
    </row>
    <row r="9" spans="1:16" ht="14.4" thickBot="1" x14ac:dyDescent="0.3">
      <c r="B9" s="7">
        <v>7</v>
      </c>
      <c r="C9" s="9"/>
      <c r="E9" s="10"/>
      <c r="F9" s="10"/>
      <c r="G9" s="10">
        <v>390</v>
      </c>
      <c r="H9" s="10"/>
      <c r="J9" s="36"/>
      <c r="K9" s="16">
        <v>4</v>
      </c>
      <c r="L9" s="20">
        <v>5</v>
      </c>
      <c r="M9" s="33"/>
      <c r="N9" s="33"/>
      <c r="P9" s="33"/>
    </row>
    <row r="10" spans="1:16" x14ac:dyDescent="0.25">
      <c r="B10" s="45" t="s">
        <v>40</v>
      </c>
      <c r="C10" s="45"/>
      <c r="D10" s="45"/>
      <c r="E10" s="45"/>
      <c r="F10" s="45"/>
      <c r="G10" s="45"/>
      <c r="H10" s="30"/>
      <c r="J10" s="35" t="s">
        <v>14</v>
      </c>
      <c r="K10" s="14">
        <v>1</v>
      </c>
      <c r="L10" s="18">
        <v>2</v>
      </c>
      <c r="M10" s="32">
        <v>55</v>
      </c>
      <c r="N10" s="32" t="s">
        <v>25</v>
      </c>
      <c r="P10" s="32"/>
    </row>
    <row r="11" spans="1:16" ht="14.4" thickBot="1" x14ac:dyDescent="0.3">
      <c r="J11" s="36"/>
      <c r="K11" s="16">
        <v>3</v>
      </c>
      <c r="L11" s="20">
        <v>1.5</v>
      </c>
      <c r="M11" s="33"/>
      <c r="N11" s="33"/>
      <c r="P11" s="33"/>
    </row>
    <row r="12" spans="1:16" x14ac:dyDescent="0.25">
      <c r="J12" s="35" t="s">
        <v>7</v>
      </c>
      <c r="K12" s="14">
        <v>1</v>
      </c>
      <c r="L12" s="18">
        <v>1</v>
      </c>
      <c r="M12" s="32">
        <v>4200</v>
      </c>
      <c r="N12" s="32" t="s">
        <v>28</v>
      </c>
      <c r="P12" s="32"/>
    </row>
    <row r="13" spans="1:16" ht="14.4" thickBot="1" x14ac:dyDescent="0.3">
      <c r="J13" s="36"/>
      <c r="K13" s="16">
        <v>4</v>
      </c>
      <c r="L13" s="20">
        <v>3</v>
      </c>
      <c r="M13" s="33"/>
      <c r="N13" s="33"/>
      <c r="P13" s="33"/>
    </row>
    <row r="14" spans="1:16" x14ac:dyDescent="0.25">
      <c r="J14" s="35" t="s">
        <v>15</v>
      </c>
      <c r="K14" s="14">
        <v>5</v>
      </c>
      <c r="L14" s="18">
        <v>1.5</v>
      </c>
      <c r="M14" s="32">
        <v>720</v>
      </c>
      <c r="N14" s="32" t="s">
        <v>18</v>
      </c>
      <c r="P14" s="32"/>
    </row>
    <row r="15" spans="1:16" ht="14.4" thickBot="1" x14ac:dyDescent="0.3">
      <c r="J15" s="36"/>
      <c r="K15" s="16">
        <v>6</v>
      </c>
      <c r="L15" s="20">
        <v>1</v>
      </c>
      <c r="M15" s="33"/>
      <c r="N15" s="33"/>
      <c r="P15" s="33"/>
    </row>
    <row r="16" spans="1:16" ht="14.4" thickBot="1" x14ac:dyDescent="0.3">
      <c r="J16" s="13" t="s">
        <v>8</v>
      </c>
      <c r="K16" s="13">
        <v>2</v>
      </c>
      <c r="L16" s="21">
        <v>1.5</v>
      </c>
      <c r="M16" s="23">
        <v>80</v>
      </c>
      <c r="N16" s="26" t="s">
        <v>25</v>
      </c>
      <c r="P16" s="26"/>
    </row>
    <row r="17" spans="10:16" x14ac:dyDescent="0.25">
      <c r="J17" s="35" t="s">
        <v>9</v>
      </c>
      <c r="K17" s="14">
        <v>6</v>
      </c>
      <c r="L17" s="18">
        <v>2</v>
      </c>
      <c r="M17" s="32">
        <v>6000</v>
      </c>
      <c r="N17" s="32" t="s">
        <v>29</v>
      </c>
      <c r="P17" s="32"/>
    </row>
    <row r="18" spans="10:16" ht="14.4" thickBot="1" x14ac:dyDescent="0.3">
      <c r="J18" s="36"/>
      <c r="K18" s="16">
        <v>7</v>
      </c>
      <c r="L18" s="20">
        <v>3</v>
      </c>
      <c r="M18" s="33"/>
      <c r="N18" s="33"/>
      <c r="P18" s="33"/>
    </row>
    <row r="19" spans="10:16" x14ac:dyDescent="0.25">
      <c r="J19" s="37" t="s">
        <v>16</v>
      </c>
      <c r="K19" s="17">
        <v>1</v>
      </c>
      <c r="L19" s="22">
        <v>3</v>
      </c>
      <c r="M19" s="32">
        <v>320</v>
      </c>
      <c r="N19" s="32" t="s">
        <v>18</v>
      </c>
      <c r="P19" s="32"/>
    </row>
    <row r="20" spans="10:16" x14ac:dyDescent="0.25">
      <c r="J20" s="38"/>
      <c r="K20" s="15">
        <v>4</v>
      </c>
      <c r="L20" s="19">
        <v>4.5</v>
      </c>
      <c r="M20" s="34"/>
      <c r="N20" s="34"/>
      <c r="P20" s="34"/>
    </row>
    <row r="21" spans="10:16" ht="14.4" thickBot="1" x14ac:dyDescent="0.3">
      <c r="J21" s="36"/>
      <c r="K21" s="16">
        <v>7</v>
      </c>
      <c r="L21" s="20">
        <v>4</v>
      </c>
      <c r="M21" s="33"/>
      <c r="N21" s="33"/>
      <c r="P21" s="33"/>
    </row>
    <row r="22" spans="10:16" x14ac:dyDescent="0.25">
      <c r="K22" s="7"/>
    </row>
    <row r="23" spans="10:16" ht="14.4" thickBot="1" x14ac:dyDescent="0.3">
      <c r="K23" s="7"/>
    </row>
    <row r="24" spans="10:16" ht="14.4" thickBot="1" x14ac:dyDescent="0.3">
      <c r="J24" s="11" t="s">
        <v>23</v>
      </c>
      <c r="K24" s="25" t="s">
        <v>26</v>
      </c>
    </row>
    <row r="25" spans="10:16" x14ac:dyDescent="0.25">
      <c r="J25" s="12" t="s">
        <v>19</v>
      </c>
      <c r="K25" s="24" t="s">
        <v>25</v>
      </c>
    </row>
    <row r="26" spans="10:16" x14ac:dyDescent="0.25">
      <c r="J26" s="2" t="s">
        <v>20</v>
      </c>
      <c r="K26" s="3" t="s">
        <v>18</v>
      </c>
    </row>
    <row r="27" spans="10:16" x14ac:dyDescent="0.25">
      <c r="J27" s="2" t="s">
        <v>21</v>
      </c>
      <c r="K27" s="3" t="s">
        <v>18</v>
      </c>
    </row>
    <row r="28" spans="10:16" ht="14.4" thickBot="1" x14ac:dyDescent="0.3">
      <c r="J28" s="4" t="s">
        <v>22</v>
      </c>
      <c r="K28" s="6" t="s">
        <v>18</v>
      </c>
    </row>
  </sheetData>
  <mergeCells count="33">
    <mergeCell ref="J19:J21"/>
    <mergeCell ref="M19:M21"/>
    <mergeCell ref="N19:N21"/>
    <mergeCell ref="P19:P21"/>
    <mergeCell ref="J14:J15"/>
    <mergeCell ref="M14:M15"/>
    <mergeCell ref="N14:N15"/>
    <mergeCell ref="P14:P15"/>
    <mergeCell ref="J17:J18"/>
    <mergeCell ref="M17:M18"/>
    <mergeCell ref="N17:N18"/>
    <mergeCell ref="P17:P18"/>
    <mergeCell ref="P10:P11"/>
    <mergeCell ref="J12:J13"/>
    <mergeCell ref="M12:M13"/>
    <mergeCell ref="N12:N13"/>
    <mergeCell ref="P12:P13"/>
    <mergeCell ref="B10:G10"/>
    <mergeCell ref="J3:J5"/>
    <mergeCell ref="M3:M5"/>
    <mergeCell ref="N3:N5"/>
    <mergeCell ref="P3:P5"/>
    <mergeCell ref="J6:J7"/>
    <mergeCell ref="M6:M7"/>
    <mergeCell ref="N6:N7"/>
    <mergeCell ref="P6:P7"/>
    <mergeCell ref="J8:J9"/>
    <mergeCell ref="M8:M9"/>
    <mergeCell ref="N8:N9"/>
    <mergeCell ref="P8:P9"/>
    <mergeCell ref="J10:J11"/>
    <mergeCell ref="M10:M11"/>
    <mergeCell ref="N10:N1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534394F008DC4397253C669199C39A" ma:contentTypeVersion="1" ma:contentTypeDescription="Crie um novo documento." ma:contentTypeScope="" ma:versionID="6718d38a3d305c2b497f65686606ca63">
  <xsd:schema xmlns:xsd="http://www.w3.org/2001/XMLSchema" xmlns:xs="http://www.w3.org/2001/XMLSchema" xmlns:p="http://schemas.microsoft.com/office/2006/metadata/properties" xmlns:ns2="2e2da58f-a220-4add-9fb2-0fc80dcff8d4" targetNamespace="http://schemas.microsoft.com/office/2006/metadata/properties" ma:root="true" ma:fieldsID="4649c83a7b4a5d2e7aac9d188bf77623" ns2:_="">
    <xsd:import namespace="2e2da58f-a220-4add-9fb2-0fc80dcff8d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da58f-a220-4add-9fb2-0fc80dcff8d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e2da58f-a220-4add-9fb2-0fc80dcff8d4" xsi:nil="true"/>
  </documentManagement>
</p:properties>
</file>

<file path=customXml/itemProps1.xml><?xml version="1.0" encoding="utf-8"?>
<ds:datastoreItem xmlns:ds="http://schemas.openxmlformats.org/officeDocument/2006/customXml" ds:itemID="{03D392A6-DC87-47FF-87BA-BC2C2BEEA375}"/>
</file>

<file path=customXml/itemProps2.xml><?xml version="1.0" encoding="utf-8"?>
<ds:datastoreItem xmlns:ds="http://schemas.openxmlformats.org/officeDocument/2006/customXml" ds:itemID="{5740FE29-AB96-459F-B3D7-EAC821589F1F}"/>
</file>

<file path=customXml/itemProps3.xml><?xml version="1.0" encoding="utf-8"?>
<ds:datastoreItem xmlns:ds="http://schemas.openxmlformats.org/officeDocument/2006/customXml" ds:itemID="{5D961DE7-8D8E-4DF9-BF17-6E8F693FE8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 que fazer</vt:lpstr>
      <vt:lpstr>Fragmento_Custo_DR</vt:lpstr>
      <vt:lpstr>Custo_Menor Custo</vt:lpstr>
      <vt:lpstr>Fragmento_Duração_DR</vt:lpstr>
      <vt:lpstr>Custo_Menor Duração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Prof-HP08</dc:creator>
  <cp:lastModifiedBy>Parecerista</cp:lastModifiedBy>
  <dcterms:created xsi:type="dcterms:W3CDTF">2023-03-14T14:24:17Z</dcterms:created>
  <dcterms:modified xsi:type="dcterms:W3CDTF">2025-09-19T11:17:25Z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0x0101008C534394F008DC4397253C669199C39A</vt:lpwstr>
  </property>
</Properties>
</file>