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119\Downloads\"/>
    </mc:Choice>
  </mc:AlternateContent>
  <xr:revisionPtr revIDLastSave="0" documentId="13_ncr:1_{CECAD91B-4CB9-49E8-B375-DB387D01C827}" xr6:coauthVersionLast="47" xr6:coauthVersionMax="47" xr10:uidLastSave="{00000000-0000-0000-0000-000000000000}"/>
  <bookViews>
    <workbookView xWindow="-108" yWindow="-108" windowWidth="23256" windowHeight="12456" activeTab="2" xr2:uid="{EBCBD357-3C4B-428B-AC2A-58920163B06C}"/>
  </bookViews>
  <sheets>
    <sheet name="DR" sheetId="1" r:id="rId1"/>
    <sheet name="Custo" sheetId="2" r:id="rId2"/>
    <sheet name="Calendá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8" i="1"/>
  <c r="C12" i="1"/>
  <c r="E16" i="2"/>
  <c r="D16" i="2"/>
  <c r="H17" i="2"/>
  <c r="F17" i="2"/>
  <c r="E17" i="2"/>
  <c r="D17" i="2"/>
  <c r="C17" i="2"/>
  <c r="AT2" i="1"/>
  <c r="AV2" i="1" s="1"/>
  <c r="F16" i="2"/>
  <c r="H16" i="2" s="1"/>
  <c r="C16" i="2"/>
  <c r="AP7" i="1"/>
  <c r="AR7" i="1" s="1"/>
  <c r="H15" i="2"/>
  <c r="F15" i="2"/>
  <c r="E15" i="2"/>
  <c r="D15" i="2"/>
  <c r="C15" i="2"/>
  <c r="AL7" i="1"/>
  <c r="AN7" i="1"/>
  <c r="H14" i="2"/>
  <c r="F14" i="2"/>
  <c r="E14" i="2"/>
  <c r="D14" i="2"/>
  <c r="C14" i="2"/>
  <c r="AL2" i="1"/>
  <c r="AN2" i="1"/>
  <c r="H13" i="2"/>
  <c r="F13" i="2"/>
  <c r="E13" i="2"/>
  <c r="D13" i="2"/>
  <c r="C13" i="2"/>
  <c r="AH2" i="1"/>
  <c r="AJ2" i="1" s="1"/>
  <c r="H12" i="2"/>
  <c r="F12" i="2"/>
  <c r="E12" i="2"/>
  <c r="D12" i="2"/>
  <c r="C12" i="2"/>
  <c r="AD7" i="1"/>
  <c r="AF7" i="1" s="1"/>
  <c r="D10" i="2"/>
  <c r="C10" i="2"/>
  <c r="E11" i="2"/>
  <c r="F11" i="2" s="1"/>
  <c r="H11" i="2" s="1"/>
  <c r="D11" i="2"/>
  <c r="C11" i="2"/>
  <c r="AD2" i="1"/>
  <c r="AF2" i="1" s="1"/>
  <c r="Z2" i="1"/>
  <c r="AB2" i="1" s="1"/>
  <c r="E9" i="2"/>
  <c r="F9" i="2" s="1"/>
  <c r="H9" i="2" s="1"/>
  <c r="D9" i="2"/>
  <c r="C9" i="2"/>
  <c r="V2" i="1"/>
  <c r="X2" i="1" s="1"/>
  <c r="E8" i="2"/>
  <c r="F8" i="2" s="1"/>
  <c r="H8" i="2" s="1"/>
  <c r="D8" i="2"/>
  <c r="C8" i="2"/>
  <c r="R2" i="1"/>
  <c r="T2" i="1" s="1"/>
  <c r="D7" i="2"/>
  <c r="C7" i="2"/>
  <c r="N2" i="1"/>
  <c r="P2" i="1" s="1"/>
  <c r="D6" i="2"/>
  <c r="C6" i="2"/>
  <c r="J7" i="1"/>
  <c r="L7" i="1" s="1"/>
  <c r="E5" i="2"/>
  <c r="F5" i="2" s="1"/>
  <c r="H5" i="2" s="1"/>
  <c r="D5" i="2"/>
  <c r="C5" i="2"/>
  <c r="J2" i="1"/>
  <c r="L2" i="1" s="1"/>
  <c r="E4" i="2"/>
  <c r="F4" i="2" s="1"/>
  <c r="H4" i="2" s="1"/>
  <c r="D4" i="2"/>
  <c r="C4" i="2"/>
  <c r="E3" i="2"/>
  <c r="D3" i="2"/>
  <c r="C3" i="2"/>
  <c r="F3" i="2" s="1"/>
  <c r="H3" i="2" s="1"/>
  <c r="K6" i="2"/>
  <c r="K8" i="2"/>
  <c r="K13" i="2"/>
  <c r="K10" i="2"/>
  <c r="K7" i="2"/>
  <c r="E7" i="2" s="1"/>
  <c r="F7" i="2" s="1"/>
  <c r="H7" i="2" s="1"/>
  <c r="K11" i="2"/>
  <c r="E10" i="2" s="1"/>
  <c r="F10" i="2" s="1"/>
  <c r="H10" i="2" s="1"/>
  <c r="K9" i="2"/>
  <c r="E6" i="2" s="1"/>
  <c r="F6" i="2" s="1"/>
  <c r="H6" i="2" s="1"/>
  <c r="K3" i="2"/>
  <c r="F2" i="1"/>
  <c r="H2" i="1" s="1"/>
  <c r="D2" i="1"/>
  <c r="H18" i="2" l="1"/>
</calcChain>
</file>

<file path=xl/sharedStrings.xml><?xml version="1.0" encoding="utf-8"?>
<sst xmlns="http://schemas.openxmlformats.org/spreadsheetml/2006/main" count="93" uniqueCount="62">
  <si>
    <t>MAG</t>
  </si>
  <si>
    <t>A</t>
  </si>
  <si>
    <t>Nova</t>
  </si>
  <si>
    <t>1-2</t>
  </si>
  <si>
    <t>B</t>
  </si>
  <si>
    <t>3-3</t>
  </si>
  <si>
    <t>Tarefa</t>
  </si>
  <si>
    <t>C</t>
  </si>
  <si>
    <t>D</t>
  </si>
  <si>
    <t>E</t>
  </si>
  <si>
    <t>Recurso</t>
  </si>
  <si>
    <t>Custo/h</t>
  </si>
  <si>
    <t>Vespa</t>
  </si>
  <si>
    <t>Jean Gray</t>
  </si>
  <si>
    <t>Gaviã</t>
  </si>
  <si>
    <t>Wiccano</t>
  </si>
  <si>
    <t>Hulking</t>
  </si>
  <si>
    <t>Aranha</t>
  </si>
  <si>
    <t>Miss Marvel</t>
  </si>
  <si>
    <t>Feiticeira</t>
  </si>
  <si>
    <t>Pantera</t>
  </si>
  <si>
    <t>Tempestade</t>
  </si>
  <si>
    <t>Duração/h</t>
  </si>
  <si>
    <t>RH</t>
  </si>
  <si>
    <t>R$ RH/h</t>
  </si>
  <si>
    <t>Custo RH</t>
  </si>
  <si>
    <t>Outros</t>
  </si>
  <si>
    <t>Custo T</t>
  </si>
  <si>
    <t>Jean</t>
  </si>
  <si>
    <t>4-4</t>
  </si>
  <si>
    <t>4-12</t>
  </si>
  <si>
    <t>5-6</t>
  </si>
  <si>
    <t>F</t>
  </si>
  <si>
    <t>7-9</t>
  </si>
  <si>
    <t>G</t>
  </si>
  <si>
    <t>10-10</t>
  </si>
  <si>
    <t>H</t>
  </si>
  <si>
    <t>13-14</t>
  </si>
  <si>
    <t>I</t>
  </si>
  <si>
    <t>15-16</t>
  </si>
  <si>
    <t>J</t>
  </si>
  <si>
    <t>15-18</t>
  </si>
  <si>
    <t>K</t>
  </si>
  <si>
    <t>19-19</t>
  </si>
  <si>
    <t>Hulkong</t>
  </si>
  <si>
    <t>L</t>
  </si>
  <si>
    <t>20-22</t>
  </si>
  <si>
    <t>M</t>
  </si>
  <si>
    <t>20-20</t>
  </si>
  <si>
    <t>N</t>
  </si>
  <si>
    <t>21-23</t>
  </si>
  <si>
    <t>O</t>
  </si>
  <si>
    <t>24-25,5</t>
  </si>
  <si>
    <t>CC: 1; 2; 4; 8; 10; 11; 13; 14; 15.</t>
  </si>
  <si>
    <t>CC:</t>
  </si>
  <si>
    <t>TF</t>
  </si>
  <si>
    <t>3(2*); 5(2*); 6(2*); 7(2*);</t>
  </si>
  <si>
    <t>9(2); 12(1).</t>
  </si>
  <si>
    <t>Proj</t>
  </si>
  <si>
    <t>dias</t>
  </si>
  <si>
    <t>Início</t>
  </si>
  <si>
    <t>Na parte da tarde (13h)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</si>
</sst>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44" fontId="0" fillId="2" borderId="0" xfId="0" applyNumberFormat="1" applyFill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/>
    </xf>
    <xf numFmtId="165" fontId="0" fillId="0" borderId="0" xfId="2" applyNumberFormat="1" applyFont="1"/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122297</xdr:colOff>
      <xdr:row>11</xdr:row>
      <xdr:rowOff>22860</xdr:rowOff>
    </xdr:from>
    <xdr:to>
      <xdr:col>25</xdr:col>
      <xdr:colOff>33620</xdr:colOff>
      <xdr:row>26</xdr:row>
      <xdr:rowOff>564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9870BC-5950-6EF1-98F9-54AC7947E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417" y="2034540"/>
          <a:ext cx="5961603" cy="2720904"/>
        </a:xfrm>
        <a:prstGeom prst="rect">
          <a:avLst/>
        </a:prstGeom>
      </xdr:spPr>
    </xdr:pic>
    <xdr:clientData/>
  </xdr:twoCellAnchor>
  <xdr:twoCellAnchor editAs="oneCell">
    <xdr:from>
      <xdr:col>25</xdr:col>
      <xdr:colOff>178580</xdr:colOff>
      <xdr:row>11</xdr:row>
      <xdr:rowOff>67548</xdr:rowOff>
    </xdr:from>
    <xdr:to>
      <xdr:col>45</xdr:col>
      <xdr:colOff>83820</xdr:colOff>
      <xdr:row>31</xdr:row>
      <xdr:rowOff>80815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EF1B34-8207-9889-BA9C-53AEDC415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8980" y="2079228"/>
          <a:ext cx="5803120" cy="3670867"/>
        </a:xfrm>
        <a:prstGeom prst="rect">
          <a:avLst/>
        </a:prstGeom>
      </xdr:spPr>
    </xdr:pic>
    <xdr:clientData/>
  </xdr:twoCellAnchor>
  <xdr:twoCellAnchor>
    <xdr:from>
      <xdr:col>4</xdr:col>
      <xdr:colOff>7620</xdr:colOff>
      <xdr:row>3</xdr:row>
      <xdr:rowOff>7620</xdr:rowOff>
    </xdr:from>
    <xdr:to>
      <xdr:col>5</xdr:col>
      <xdr:colOff>30480</xdr:colOff>
      <xdr:row>3</xdr:row>
      <xdr:rowOff>15240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F9C755EB-9B70-F77F-7717-4EF43DEA6F02}"/>
            </a:ext>
          </a:extLst>
        </xdr:cNvPr>
        <xdr:cNvCxnSpPr/>
      </xdr:nvCxnSpPr>
      <xdr:spPr>
        <a:xfrm>
          <a:off x="1577340" y="556260"/>
          <a:ext cx="1905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3</xdr:row>
      <xdr:rowOff>7620</xdr:rowOff>
    </xdr:from>
    <xdr:to>
      <xdr:col>9</xdr:col>
      <xdr:colOff>30480</xdr:colOff>
      <xdr:row>3</xdr:row>
      <xdr:rowOff>15240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C3FFB6E8-F69C-4D02-85DE-9E95586F66DB}"/>
            </a:ext>
          </a:extLst>
        </xdr:cNvPr>
        <xdr:cNvCxnSpPr/>
      </xdr:nvCxnSpPr>
      <xdr:spPr>
        <a:xfrm>
          <a:off x="1577340" y="556260"/>
          <a:ext cx="1752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8</xdr:row>
      <xdr:rowOff>7620</xdr:rowOff>
    </xdr:from>
    <xdr:to>
      <xdr:col>9</xdr:col>
      <xdr:colOff>30480</xdr:colOff>
      <xdr:row>8</xdr:row>
      <xdr:rowOff>15240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838F5913-C708-42EE-ACEC-6D96066E8BEE}"/>
            </a:ext>
          </a:extLst>
        </xdr:cNvPr>
        <xdr:cNvCxnSpPr/>
      </xdr:nvCxnSpPr>
      <xdr:spPr>
        <a:xfrm>
          <a:off x="2613660" y="556260"/>
          <a:ext cx="2057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</xdr:colOff>
      <xdr:row>3</xdr:row>
      <xdr:rowOff>0</xdr:rowOff>
    </xdr:from>
    <xdr:to>
      <xdr:col>8</xdr:col>
      <xdr:colOff>60960</xdr:colOff>
      <xdr:row>8</xdr:row>
      <xdr:rowOff>7620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94667258-8FD9-1D2A-9632-CE74F1696779}"/>
            </a:ext>
          </a:extLst>
        </xdr:cNvPr>
        <xdr:cNvCxnSpPr/>
      </xdr:nvCxnSpPr>
      <xdr:spPr>
        <a:xfrm>
          <a:off x="2659380" y="548640"/>
          <a:ext cx="7620" cy="9220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3</xdr:row>
      <xdr:rowOff>7620</xdr:rowOff>
    </xdr:from>
    <xdr:to>
      <xdr:col>13</xdr:col>
      <xdr:colOff>30480</xdr:colOff>
      <xdr:row>3</xdr:row>
      <xdr:rowOff>15240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A03B9B3E-7E6A-474D-A283-C5243162B8A3}"/>
            </a:ext>
          </a:extLst>
        </xdr:cNvPr>
        <xdr:cNvCxnSpPr/>
      </xdr:nvCxnSpPr>
      <xdr:spPr>
        <a:xfrm>
          <a:off x="2514600" y="556260"/>
          <a:ext cx="2057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</xdr:colOff>
      <xdr:row>3</xdr:row>
      <xdr:rowOff>7620</xdr:rowOff>
    </xdr:from>
    <xdr:to>
      <xdr:col>17</xdr:col>
      <xdr:colOff>30480</xdr:colOff>
      <xdr:row>3</xdr:row>
      <xdr:rowOff>15240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A5C6FBF4-28CB-49FB-9AB8-3BE2F9157072}"/>
            </a:ext>
          </a:extLst>
        </xdr:cNvPr>
        <xdr:cNvCxnSpPr/>
      </xdr:nvCxnSpPr>
      <xdr:spPr>
        <a:xfrm>
          <a:off x="3657600" y="556260"/>
          <a:ext cx="1600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3</xdr:row>
      <xdr:rowOff>7620</xdr:rowOff>
    </xdr:from>
    <xdr:to>
      <xdr:col>21</xdr:col>
      <xdr:colOff>30480</xdr:colOff>
      <xdr:row>3</xdr:row>
      <xdr:rowOff>15240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246B0093-8BF3-42B8-8186-AA14BCEE47F6}"/>
            </a:ext>
          </a:extLst>
        </xdr:cNvPr>
        <xdr:cNvCxnSpPr/>
      </xdr:nvCxnSpPr>
      <xdr:spPr>
        <a:xfrm>
          <a:off x="4808220" y="556260"/>
          <a:ext cx="1981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3</xdr:row>
      <xdr:rowOff>7620</xdr:rowOff>
    </xdr:from>
    <xdr:to>
      <xdr:col>25</xdr:col>
      <xdr:colOff>30480</xdr:colOff>
      <xdr:row>3</xdr:row>
      <xdr:rowOff>15240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457A01FD-3DF4-4904-8D53-E6D7D15C3179}"/>
            </a:ext>
          </a:extLst>
        </xdr:cNvPr>
        <xdr:cNvCxnSpPr/>
      </xdr:nvCxnSpPr>
      <xdr:spPr>
        <a:xfrm>
          <a:off x="5943600" y="556260"/>
          <a:ext cx="1981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160020</xdr:rowOff>
    </xdr:from>
    <xdr:to>
      <xdr:col>24</xdr:col>
      <xdr:colOff>76200</xdr:colOff>
      <xdr:row>8</xdr:row>
      <xdr:rowOff>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A7C214A1-DCFA-4D78-8205-14F2D8B3513C}"/>
            </a:ext>
          </a:extLst>
        </xdr:cNvPr>
        <xdr:cNvCxnSpPr/>
      </xdr:nvCxnSpPr>
      <xdr:spPr>
        <a:xfrm flipV="1">
          <a:off x="3649980" y="1440180"/>
          <a:ext cx="3634740" cy="228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53340</xdr:colOff>
      <xdr:row>3</xdr:row>
      <xdr:rowOff>0</xdr:rowOff>
    </xdr:from>
    <xdr:to>
      <xdr:col>24</xdr:col>
      <xdr:colOff>60960</xdr:colOff>
      <xdr:row>8</xdr:row>
      <xdr:rowOff>7620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51A29B19-94CD-45F2-A9A5-B0D27906266F}"/>
            </a:ext>
          </a:extLst>
        </xdr:cNvPr>
        <xdr:cNvCxnSpPr/>
      </xdr:nvCxnSpPr>
      <xdr:spPr>
        <a:xfrm>
          <a:off x="7261860" y="548640"/>
          <a:ext cx="7620" cy="9220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</xdr:colOff>
      <xdr:row>3</xdr:row>
      <xdr:rowOff>7620</xdr:rowOff>
    </xdr:from>
    <xdr:to>
      <xdr:col>29</xdr:col>
      <xdr:colOff>30480</xdr:colOff>
      <xdr:row>3</xdr:row>
      <xdr:rowOff>15240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C392BEE2-0442-472C-91A2-E61E7F6E9CC3}"/>
            </a:ext>
          </a:extLst>
        </xdr:cNvPr>
        <xdr:cNvCxnSpPr/>
      </xdr:nvCxnSpPr>
      <xdr:spPr>
        <a:xfrm>
          <a:off x="7216140" y="556260"/>
          <a:ext cx="18288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</xdr:colOff>
      <xdr:row>8</xdr:row>
      <xdr:rowOff>7620</xdr:rowOff>
    </xdr:from>
    <xdr:to>
      <xdr:col>29</xdr:col>
      <xdr:colOff>30480</xdr:colOff>
      <xdr:row>8</xdr:row>
      <xdr:rowOff>15240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7180E18B-7B3D-444C-A228-536243037DF5}"/>
            </a:ext>
          </a:extLst>
        </xdr:cNvPr>
        <xdr:cNvCxnSpPr/>
      </xdr:nvCxnSpPr>
      <xdr:spPr>
        <a:xfrm>
          <a:off x="8602980" y="556260"/>
          <a:ext cx="18288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53340</xdr:colOff>
      <xdr:row>3</xdr:row>
      <xdr:rowOff>0</xdr:rowOff>
    </xdr:from>
    <xdr:to>
      <xdr:col>28</xdr:col>
      <xdr:colOff>60960</xdr:colOff>
      <xdr:row>8</xdr:row>
      <xdr:rowOff>7620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A09BE091-CD9C-4E68-B5DD-5473F99F9235}"/>
            </a:ext>
          </a:extLst>
        </xdr:cNvPr>
        <xdr:cNvCxnSpPr/>
      </xdr:nvCxnSpPr>
      <xdr:spPr>
        <a:xfrm>
          <a:off x="8648700" y="548640"/>
          <a:ext cx="7620" cy="9220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3</xdr:row>
      <xdr:rowOff>7620</xdr:rowOff>
    </xdr:from>
    <xdr:to>
      <xdr:col>33</xdr:col>
      <xdr:colOff>30480</xdr:colOff>
      <xdr:row>3</xdr:row>
      <xdr:rowOff>15240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C1D59F1D-6BB7-4B4F-B2A9-9CFC1DAB9E54}"/>
            </a:ext>
          </a:extLst>
        </xdr:cNvPr>
        <xdr:cNvCxnSpPr/>
      </xdr:nvCxnSpPr>
      <xdr:spPr>
        <a:xfrm>
          <a:off x="8602980" y="556260"/>
          <a:ext cx="18288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7</xdr:row>
      <xdr:rowOff>175260</xdr:rowOff>
    </xdr:from>
    <xdr:to>
      <xdr:col>33</xdr:col>
      <xdr:colOff>30480</xdr:colOff>
      <xdr:row>8</xdr:row>
      <xdr:rowOff>0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F3F90065-8A10-49D6-88E2-94C1FAE31142}"/>
            </a:ext>
          </a:extLst>
        </xdr:cNvPr>
        <xdr:cNvCxnSpPr/>
      </xdr:nvCxnSpPr>
      <xdr:spPr>
        <a:xfrm>
          <a:off x="10081260" y="1455420"/>
          <a:ext cx="1676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99060</xdr:colOff>
      <xdr:row>3</xdr:row>
      <xdr:rowOff>22860</xdr:rowOff>
    </xdr:from>
    <xdr:to>
      <xdr:col>32</xdr:col>
      <xdr:colOff>106680</xdr:colOff>
      <xdr:row>8</xdr:row>
      <xdr:rowOff>30480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CDBC18F0-FD76-40EF-AD7E-A48D0FCCFA94}"/>
            </a:ext>
          </a:extLst>
        </xdr:cNvPr>
        <xdr:cNvCxnSpPr/>
      </xdr:nvCxnSpPr>
      <xdr:spPr>
        <a:xfrm>
          <a:off x="10172700" y="571500"/>
          <a:ext cx="7620" cy="9220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7620</xdr:colOff>
      <xdr:row>3</xdr:row>
      <xdr:rowOff>7620</xdr:rowOff>
    </xdr:from>
    <xdr:to>
      <xdr:col>37</xdr:col>
      <xdr:colOff>30480</xdr:colOff>
      <xdr:row>3</xdr:row>
      <xdr:rowOff>15240</xdr:rowOff>
    </xdr:to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C808DB10-72E4-4F3F-8ADA-48852ABA7EE4}"/>
            </a:ext>
          </a:extLst>
        </xdr:cNvPr>
        <xdr:cNvCxnSpPr/>
      </xdr:nvCxnSpPr>
      <xdr:spPr>
        <a:xfrm>
          <a:off x="9989820" y="556260"/>
          <a:ext cx="1676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7620</xdr:colOff>
      <xdr:row>8</xdr:row>
      <xdr:rowOff>7620</xdr:rowOff>
    </xdr:from>
    <xdr:to>
      <xdr:col>37</xdr:col>
      <xdr:colOff>30480</xdr:colOff>
      <xdr:row>8</xdr:row>
      <xdr:rowOff>15240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F178F02C-9887-41DC-907B-E89B81EBC308}"/>
            </a:ext>
          </a:extLst>
        </xdr:cNvPr>
        <xdr:cNvCxnSpPr/>
      </xdr:nvCxnSpPr>
      <xdr:spPr>
        <a:xfrm>
          <a:off x="11033760" y="556260"/>
          <a:ext cx="2057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53340</xdr:colOff>
      <xdr:row>3</xdr:row>
      <xdr:rowOff>22860</xdr:rowOff>
    </xdr:from>
    <xdr:to>
      <xdr:col>36</xdr:col>
      <xdr:colOff>60960</xdr:colOff>
      <xdr:row>8</xdr:row>
      <xdr:rowOff>30480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3D26ED57-E43B-4C37-B285-4AA08453986D}"/>
            </a:ext>
          </a:extLst>
        </xdr:cNvPr>
        <xdr:cNvCxnSpPr/>
      </xdr:nvCxnSpPr>
      <xdr:spPr>
        <a:xfrm>
          <a:off x="11079480" y="571500"/>
          <a:ext cx="7620" cy="9220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7620</xdr:colOff>
      <xdr:row>8</xdr:row>
      <xdr:rowOff>7620</xdr:rowOff>
    </xdr:from>
    <xdr:to>
      <xdr:col>41</xdr:col>
      <xdr:colOff>30480</xdr:colOff>
      <xdr:row>8</xdr:row>
      <xdr:rowOff>15240</xdr:rowOff>
    </xdr:to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ED9AD7CA-4DFE-486D-BF17-46CC64B56DBC}"/>
            </a:ext>
          </a:extLst>
        </xdr:cNvPr>
        <xdr:cNvCxnSpPr/>
      </xdr:nvCxnSpPr>
      <xdr:spPr>
        <a:xfrm>
          <a:off x="11033760" y="1470660"/>
          <a:ext cx="2057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30480</xdr:colOff>
      <xdr:row>3</xdr:row>
      <xdr:rowOff>15240</xdr:rowOff>
    </xdr:from>
    <xdr:to>
      <xdr:col>45</xdr:col>
      <xdr:colOff>30480</xdr:colOff>
      <xdr:row>3</xdr:row>
      <xdr:rowOff>22860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BB93C366-8E25-42B5-A119-B8F8D3EFD1E3}"/>
            </a:ext>
          </a:extLst>
        </xdr:cNvPr>
        <xdr:cNvCxnSpPr/>
      </xdr:nvCxnSpPr>
      <xdr:spPr>
        <a:xfrm flipV="1">
          <a:off x="11635740" y="563880"/>
          <a:ext cx="13106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289560</xdr:colOff>
      <xdr:row>8</xdr:row>
      <xdr:rowOff>0</xdr:rowOff>
    </xdr:from>
    <xdr:to>
      <xdr:col>45</xdr:col>
      <xdr:colOff>30480</xdr:colOff>
      <xdr:row>8</xdr:row>
      <xdr:rowOff>7620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188424BC-1721-47C2-9BBB-6BF491FDDC63}"/>
            </a:ext>
          </a:extLst>
        </xdr:cNvPr>
        <xdr:cNvCxnSpPr/>
      </xdr:nvCxnSpPr>
      <xdr:spPr>
        <a:xfrm>
          <a:off x="12717780" y="1463040"/>
          <a:ext cx="1600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60960</xdr:colOff>
      <xdr:row>3</xdr:row>
      <xdr:rowOff>15240</xdr:rowOff>
    </xdr:from>
    <xdr:to>
      <xdr:col>44</xdr:col>
      <xdr:colOff>68580</xdr:colOff>
      <xdr:row>8</xdr:row>
      <xdr:rowOff>22860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E51C45A5-A087-4924-88F7-F48DFE7D2787}"/>
            </a:ext>
          </a:extLst>
        </xdr:cNvPr>
        <xdr:cNvCxnSpPr/>
      </xdr:nvCxnSpPr>
      <xdr:spPr>
        <a:xfrm>
          <a:off x="12786360" y="563880"/>
          <a:ext cx="7620" cy="9220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350520</xdr:colOff>
      <xdr:row>16</xdr:row>
      <xdr:rowOff>53341</xdr:rowOff>
    </xdr:from>
    <xdr:to>
      <xdr:col>20</xdr:col>
      <xdr:colOff>76200</xdr:colOff>
      <xdr:row>34</xdr:row>
      <xdr:rowOff>58495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9FBAD0-6CC1-429E-B39A-1CA275287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4780" y="2979421"/>
          <a:ext cx="5212080" cy="3296994"/>
        </a:xfrm>
        <a:prstGeom prst="rect">
          <a:avLst/>
        </a:prstGeom>
      </xdr:spPr>
    </xdr:pic>
    <xdr:clientData/>
  </xdr:twoCellAnchor>
  <xdr:twoCellAnchor editAs="oneCell">
    <xdr:from>
      <xdr:col>11</xdr:col>
      <xdr:colOff>289560</xdr:colOff>
      <xdr:row>0</xdr:row>
      <xdr:rowOff>76201</xdr:rowOff>
    </xdr:from>
    <xdr:to>
      <xdr:col>21</xdr:col>
      <xdr:colOff>155163</xdr:colOff>
      <xdr:row>15</xdr:row>
      <xdr:rowOff>53905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8C67F0A-0A14-47B9-B504-315A96F1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3820" y="76201"/>
          <a:ext cx="5961603" cy="27209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571500</xdr:colOff>
      <xdr:row>0</xdr:row>
      <xdr:rowOff>137161</xdr:rowOff>
    </xdr:from>
    <xdr:to>
      <xdr:col>14</xdr:col>
      <xdr:colOff>295304</xdr:colOff>
      <xdr:row>22</xdr:row>
      <xdr:rowOff>30481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1F6F88-3794-2DE1-3461-6F104BA7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3580" y="137161"/>
          <a:ext cx="2771804" cy="3916680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</xdr:colOff>
      <xdr:row>0</xdr:row>
      <xdr:rowOff>129540</xdr:rowOff>
    </xdr:from>
    <xdr:to>
      <xdr:col>9</xdr:col>
      <xdr:colOff>383694</xdr:colOff>
      <xdr:row>22</xdr:row>
      <xdr:rowOff>9392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AD9D80-BF29-C3A2-C257-EE293B814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6560" y="129540"/>
          <a:ext cx="2738274" cy="3903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8A71-305B-4968-8D26-BB6E0EFA1B76}">
  <dimension ref="A1:AV12"/>
  <sheetViews>
    <sheetView workbookViewId="0"/>
  </sheetViews>
  <sheetFormatPr defaultRowHeight="14.4" x14ac:dyDescent="0.3"/>
  <cols>
    <col min="1" max="1" width="4.88671875" customWidth="1"/>
    <col min="2" max="2" width="4" customWidth="1"/>
    <col min="3" max="3" width="5.109375" bestFit="1" customWidth="1"/>
    <col min="4" max="4" width="6.5546875" customWidth="1"/>
    <col min="5" max="5" width="1.6640625" customWidth="1"/>
    <col min="6" max="6" width="4" customWidth="1"/>
    <col min="7" max="7" width="4.6640625" bestFit="1" customWidth="1"/>
    <col min="8" max="8" width="4.77734375" customWidth="1"/>
    <col min="9" max="9" width="1.77734375" customWidth="1"/>
    <col min="10" max="10" width="2.88671875" customWidth="1"/>
    <col min="11" max="11" width="6" bestFit="1" customWidth="1"/>
    <col min="12" max="12" width="4.77734375" customWidth="1"/>
    <col min="13" max="13" width="2" customWidth="1"/>
    <col min="14" max="14" width="3.21875" customWidth="1"/>
    <col min="15" max="15" width="7" bestFit="1" customWidth="1"/>
    <col min="16" max="16" width="3.77734375" customWidth="1"/>
    <col min="17" max="17" width="2.5546875" customWidth="1"/>
    <col min="18" max="18" width="3.6640625" customWidth="1"/>
    <col min="19" max="19" width="5.109375" bestFit="1" customWidth="1"/>
    <col min="20" max="20" width="4.77734375" customWidth="1"/>
    <col min="21" max="21" width="2.5546875" customWidth="1"/>
    <col min="22" max="22" width="3.44140625" customWidth="1"/>
    <col min="23" max="23" width="5.6640625" bestFit="1" customWidth="1"/>
    <col min="24" max="24" width="5" customWidth="1"/>
    <col min="25" max="25" width="2.33203125" customWidth="1"/>
    <col min="26" max="26" width="3.6640625" customWidth="1"/>
    <col min="27" max="27" width="8.109375" bestFit="1" customWidth="1"/>
    <col min="28" max="28" width="4.5546875" customWidth="1"/>
    <col min="29" max="29" width="2.33203125" customWidth="1"/>
    <col min="30" max="30" width="3.33203125" customWidth="1"/>
    <col min="31" max="31" width="7.5546875" bestFit="1" customWidth="1"/>
    <col min="32" max="32" width="5.5546875" customWidth="1"/>
    <col min="33" max="33" width="2.109375" customWidth="1"/>
    <col min="34" max="34" width="3.77734375" customWidth="1"/>
    <col min="35" max="35" width="5.6640625" bestFit="1" customWidth="1"/>
    <col min="36" max="36" width="3.6640625" customWidth="1"/>
    <col min="37" max="37" width="2.6640625" customWidth="1"/>
    <col min="38" max="38" width="3.44140625" customWidth="1"/>
    <col min="39" max="39" width="6" bestFit="1" customWidth="1"/>
    <col min="40" max="40" width="4.109375" customWidth="1"/>
    <col min="41" max="41" width="2" customWidth="1"/>
    <col min="42" max="42" width="4" customWidth="1"/>
    <col min="43" max="43" width="7.33203125" bestFit="1" customWidth="1"/>
    <col min="44" max="44" width="4.33203125" customWidth="1"/>
    <col min="45" max="45" width="1.77734375" customWidth="1"/>
    <col min="46" max="46" width="3" bestFit="1" customWidth="1"/>
    <col min="47" max="47" width="7.21875" bestFit="1" customWidth="1"/>
    <col min="48" max="48" width="4.5546875" bestFit="1" customWidth="1"/>
  </cols>
  <sheetData>
    <row r="1" spans="1:48" x14ac:dyDescent="0.3">
      <c r="A1" t="s">
        <v>0</v>
      </c>
    </row>
    <row r="2" spans="1:48" x14ac:dyDescent="0.3">
      <c r="B2" s="13">
        <v>0</v>
      </c>
      <c r="C2" s="14" t="s">
        <v>3</v>
      </c>
      <c r="D2" s="13">
        <f>B2+D5</f>
        <v>2</v>
      </c>
      <c r="F2" s="13">
        <f>D2</f>
        <v>2</v>
      </c>
      <c r="G2" s="14" t="s">
        <v>5</v>
      </c>
      <c r="H2" s="13">
        <f>F2+H5</f>
        <v>3</v>
      </c>
      <c r="J2" s="1">
        <f>H2</f>
        <v>3</v>
      </c>
      <c r="K2" s="8" t="s">
        <v>29</v>
      </c>
      <c r="L2" s="1">
        <f>J2+L5</f>
        <v>4</v>
      </c>
      <c r="N2" s="1">
        <f>L2</f>
        <v>4</v>
      </c>
      <c r="O2" s="8" t="s">
        <v>31</v>
      </c>
      <c r="P2" s="1">
        <f>N2+P5</f>
        <v>6</v>
      </c>
      <c r="R2" s="1">
        <f>P2</f>
        <v>6</v>
      </c>
      <c r="S2" s="8" t="s">
        <v>33</v>
      </c>
      <c r="T2" s="1">
        <f>R2+T5</f>
        <v>9</v>
      </c>
      <c r="V2" s="1">
        <f>T2</f>
        <v>9</v>
      </c>
      <c r="W2" s="8" t="s">
        <v>35</v>
      </c>
      <c r="X2" s="1">
        <f>V2+X5</f>
        <v>10</v>
      </c>
      <c r="Z2" s="13">
        <f>L7</f>
        <v>12</v>
      </c>
      <c r="AA2" s="14" t="s">
        <v>37</v>
      </c>
      <c r="AB2" s="13">
        <f>Z2+AB5</f>
        <v>14</v>
      </c>
      <c r="AD2" s="1">
        <f>AB2</f>
        <v>14</v>
      </c>
      <c r="AE2" s="8" t="s">
        <v>39</v>
      </c>
      <c r="AF2" s="1">
        <f>AD2+AF5</f>
        <v>16</v>
      </c>
      <c r="AH2" s="13">
        <f>AF7</f>
        <v>18</v>
      </c>
      <c r="AI2" s="14" t="s">
        <v>43</v>
      </c>
      <c r="AJ2" s="13">
        <f>AH2+AJ5</f>
        <v>19</v>
      </c>
      <c r="AL2" s="1">
        <f>AJ2</f>
        <v>19</v>
      </c>
      <c r="AM2" s="8" t="s">
        <v>46</v>
      </c>
      <c r="AN2" s="1">
        <f>AL2+AN5</f>
        <v>22</v>
      </c>
      <c r="AT2" s="13">
        <f>AR7</f>
        <v>23</v>
      </c>
      <c r="AU2" s="14" t="s">
        <v>52</v>
      </c>
      <c r="AV2" s="22">
        <f>AT2+AV5</f>
        <v>25.5</v>
      </c>
    </row>
    <row r="3" spans="1:48" x14ac:dyDescent="0.3">
      <c r="B3" s="15" t="s">
        <v>1</v>
      </c>
      <c r="C3" s="16"/>
      <c r="D3" s="17"/>
      <c r="F3" s="15" t="s">
        <v>4</v>
      </c>
      <c r="G3" s="16"/>
      <c r="H3" s="17"/>
      <c r="J3" s="2" t="s">
        <v>7</v>
      </c>
      <c r="K3" s="3"/>
      <c r="L3" s="4"/>
      <c r="N3" s="2" t="s">
        <v>9</v>
      </c>
      <c r="O3" s="3"/>
      <c r="P3" s="4"/>
      <c r="R3" s="2" t="s">
        <v>32</v>
      </c>
      <c r="S3" s="3"/>
      <c r="T3" s="4"/>
      <c r="V3" s="2" t="s">
        <v>34</v>
      </c>
      <c r="W3" s="3"/>
      <c r="X3" s="4"/>
      <c r="Z3" s="15" t="s">
        <v>36</v>
      </c>
      <c r="AA3" s="16"/>
      <c r="AB3" s="17"/>
      <c r="AD3" s="2" t="s">
        <v>38</v>
      </c>
      <c r="AE3" s="3"/>
      <c r="AF3" s="4"/>
      <c r="AH3" s="15" t="s">
        <v>42</v>
      </c>
      <c r="AI3" s="16"/>
      <c r="AJ3" s="17"/>
      <c r="AL3" s="2" t="s">
        <v>45</v>
      </c>
      <c r="AM3" s="3"/>
      <c r="AN3" s="4"/>
      <c r="AT3" s="15" t="s">
        <v>51</v>
      </c>
      <c r="AU3" s="16"/>
      <c r="AV3" s="17"/>
    </row>
    <row r="4" spans="1:48" x14ac:dyDescent="0.3">
      <c r="B4" s="18"/>
      <c r="C4" s="19"/>
      <c r="D4" s="20"/>
      <c r="F4" s="18"/>
      <c r="G4" s="19"/>
      <c r="H4" s="20"/>
      <c r="J4" s="5"/>
      <c r="K4" s="6"/>
      <c r="L4" s="7"/>
      <c r="N4" s="5"/>
      <c r="O4" s="6"/>
      <c r="P4" s="7"/>
      <c r="R4" s="5"/>
      <c r="S4" s="6"/>
      <c r="T4" s="7"/>
      <c r="V4" s="5"/>
      <c r="W4" s="6"/>
      <c r="X4" s="7"/>
      <c r="Z4" s="18"/>
      <c r="AA4" s="19"/>
      <c r="AB4" s="20"/>
      <c r="AD4" s="5"/>
      <c r="AE4" s="6"/>
      <c r="AF4" s="7"/>
      <c r="AH4" s="18"/>
      <c r="AI4" s="19"/>
      <c r="AJ4" s="20"/>
      <c r="AL4" s="5"/>
      <c r="AM4" s="6"/>
      <c r="AN4" s="7"/>
      <c r="AT4" s="18"/>
      <c r="AU4" s="19"/>
      <c r="AV4" s="20"/>
    </row>
    <row r="5" spans="1:48" x14ac:dyDescent="0.3">
      <c r="B5" s="13">
        <v>1</v>
      </c>
      <c r="C5" s="13" t="s">
        <v>2</v>
      </c>
      <c r="D5" s="13">
        <v>2</v>
      </c>
      <c r="F5" s="13">
        <v>2</v>
      </c>
      <c r="G5" s="13" t="s">
        <v>28</v>
      </c>
      <c r="H5" s="13">
        <v>1</v>
      </c>
      <c r="J5" s="1">
        <v>3</v>
      </c>
      <c r="K5" s="1" t="s">
        <v>12</v>
      </c>
      <c r="L5" s="1">
        <v>1</v>
      </c>
      <c r="N5" s="1">
        <v>5</v>
      </c>
      <c r="O5" s="1" t="s">
        <v>16</v>
      </c>
      <c r="P5" s="1">
        <v>2</v>
      </c>
      <c r="R5" s="1">
        <v>6</v>
      </c>
      <c r="S5" s="1" t="s">
        <v>2</v>
      </c>
      <c r="T5" s="1">
        <v>3</v>
      </c>
      <c r="V5" s="1">
        <v>7</v>
      </c>
      <c r="W5" s="1" t="s">
        <v>2</v>
      </c>
      <c r="X5" s="1">
        <v>1</v>
      </c>
      <c r="Z5" s="13">
        <v>8</v>
      </c>
      <c r="AA5" s="13" t="s">
        <v>15</v>
      </c>
      <c r="AB5" s="13">
        <v>2</v>
      </c>
      <c r="AD5" s="1">
        <v>9</v>
      </c>
      <c r="AE5" s="1" t="s">
        <v>44</v>
      </c>
      <c r="AF5" s="1">
        <v>2</v>
      </c>
      <c r="AH5" s="13">
        <v>11</v>
      </c>
      <c r="AI5" s="13" t="s">
        <v>2</v>
      </c>
      <c r="AJ5" s="13">
        <v>1</v>
      </c>
      <c r="AL5" s="1">
        <v>12</v>
      </c>
      <c r="AM5" s="1" t="s">
        <v>12</v>
      </c>
      <c r="AN5" s="1">
        <v>3</v>
      </c>
      <c r="AT5" s="13">
        <v>15</v>
      </c>
      <c r="AU5" s="13" t="s">
        <v>17</v>
      </c>
      <c r="AV5" s="13">
        <v>2.5</v>
      </c>
    </row>
    <row r="7" spans="1:48" x14ac:dyDescent="0.3">
      <c r="B7" t="s">
        <v>53</v>
      </c>
      <c r="J7" s="13">
        <f>H2</f>
        <v>3</v>
      </c>
      <c r="K7" s="14" t="s">
        <v>30</v>
      </c>
      <c r="L7" s="13">
        <f>J7+L10</f>
        <v>12</v>
      </c>
      <c r="AD7" s="13">
        <f>AB2</f>
        <v>14</v>
      </c>
      <c r="AE7" s="14" t="s">
        <v>41</v>
      </c>
      <c r="AF7" s="13">
        <f>AD7+AF10</f>
        <v>18</v>
      </c>
      <c r="AL7" s="13">
        <f>AJ2</f>
        <v>19</v>
      </c>
      <c r="AM7" s="14" t="s">
        <v>48</v>
      </c>
      <c r="AN7" s="13">
        <f>AL7+AN10</f>
        <v>20</v>
      </c>
      <c r="AO7" s="21"/>
      <c r="AP7" s="13">
        <f>AN7</f>
        <v>20</v>
      </c>
      <c r="AQ7" s="14" t="s">
        <v>50</v>
      </c>
      <c r="AR7" s="13">
        <f>AP7+AR10</f>
        <v>23</v>
      </c>
    </row>
    <row r="8" spans="1:48" x14ac:dyDescent="0.3">
      <c r="B8" t="s">
        <v>54</v>
      </c>
      <c r="C8">
        <v>9</v>
      </c>
      <c r="D8" s="23">
        <f>C8/C12</f>
        <v>0.6</v>
      </c>
      <c r="J8" s="15" t="s">
        <v>8</v>
      </c>
      <c r="K8" s="16"/>
      <c r="L8" s="17"/>
      <c r="AD8" s="15" t="s">
        <v>40</v>
      </c>
      <c r="AE8" s="16"/>
      <c r="AF8" s="17"/>
      <c r="AL8" s="15" t="s">
        <v>47</v>
      </c>
      <c r="AM8" s="16"/>
      <c r="AN8" s="17"/>
      <c r="AO8" s="21"/>
      <c r="AP8" s="15" t="s">
        <v>49</v>
      </c>
      <c r="AQ8" s="16"/>
      <c r="AR8" s="17"/>
    </row>
    <row r="9" spans="1:48" x14ac:dyDescent="0.3">
      <c r="B9" t="s">
        <v>55</v>
      </c>
      <c r="C9" t="s">
        <v>56</v>
      </c>
      <c r="J9" s="18"/>
      <c r="K9" s="19"/>
      <c r="L9" s="20"/>
      <c r="AD9" s="18"/>
      <c r="AE9" s="19"/>
      <c r="AF9" s="20"/>
      <c r="AL9" s="18"/>
      <c r="AM9" s="19"/>
      <c r="AN9" s="20"/>
      <c r="AO9" s="21"/>
      <c r="AP9" s="18"/>
      <c r="AQ9" s="19"/>
      <c r="AR9" s="20"/>
    </row>
    <row r="10" spans="1:48" x14ac:dyDescent="0.3">
      <c r="C10" t="s">
        <v>57</v>
      </c>
      <c r="J10" s="13">
        <v>4</v>
      </c>
      <c r="K10" s="13" t="s">
        <v>14</v>
      </c>
      <c r="L10" s="13">
        <v>9</v>
      </c>
      <c r="AD10" s="13">
        <v>10</v>
      </c>
      <c r="AE10" s="13" t="s">
        <v>20</v>
      </c>
      <c r="AF10" s="13">
        <v>4</v>
      </c>
      <c r="AL10" s="13">
        <v>13</v>
      </c>
      <c r="AM10" s="13" t="s">
        <v>14</v>
      </c>
      <c r="AN10" s="13">
        <v>1</v>
      </c>
      <c r="AO10" s="21"/>
      <c r="AP10" s="13">
        <v>14</v>
      </c>
      <c r="AQ10" s="13" t="s">
        <v>20</v>
      </c>
      <c r="AR10" s="13">
        <v>3</v>
      </c>
    </row>
    <row r="11" spans="1:48" x14ac:dyDescent="0.3">
      <c r="B11" t="s">
        <v>55</v>
      </c>
      <c r="C11">
        <v>6</v>
      </c>
      <c r="D11" s="23">
        <f>C11/C12</f>
        <v>0.4</v>
      </c>
    </row>
    <row r="12" spans="1:48" x14ac:dyDescent="0.3">
      <c r="B12" t="s">
        <v>58</v>
      </c>
      <c r="C12">
        <f>C8+C11</f>
        <v>15</v>
      </c>
    </row>
  </sheetData>
  <mergeCells count="15">
    <mergeCell ref="AP8:AR9"/>
    <mergeCell ref="AT3:AV4"/>
    <mergeCell ref="V3:X4"/>
    <mergeCell ref="Z3:AB4"/>
    <mergeCell ref="AD3:AF4"/>
    <mergeCell ref="AD8:AF9"/>
    <mergeCell ref="AH3:AJ4"/>
    <mergeCell ref="AL3:AN4"/>
    <mergeCell ref="AL8:AN9"/>
    <mergeCell ref="B3:D4"/>
    <mergeCell ref="F3:H4"/>
    <mergeCell ref="J3:L4"/>
    <mergeCell ref="J8:L9"/>
    <mergeCell ref="N3:P4"/>
    <mergeCell ref="R3:T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EC2C-4C6D-489B-AD08-E319C1EAC8F8}">
  <dimension ref="A1:K18"/>
  <sheetViews>
    <sheetView workbookViewId="0">
      <selection activeCell="D17" sqref="D17"/>
    </sheetView>
  </sheetViews>
  <sheetFormatPr defaultRowHeight="14.4" x14ac:dyDescent="0.3"/>
  <cols>
    <col min="1" max="1" width="4.88671875" bestFit="1" customWidth="1"/>
    <col min="2" max="2" width="6.109375" bestFit="1" customWidth="1"/>
    <col min="3" max="3" width="9.5546875" bestFit="1" customWidth="1"/>
    <col min="5" max="5" width="9.33203125" bestFit="1" customWidth="1"/>
    <col min="6" max="7" width="11.88671875" bestFit="1" customWidth="1"/>
    <col min="8" max="8" width="12.88671875" bestFit="1" customWidth="1"/>
    <col min="9" max="9" width="2.77734375" customWidth="1"/>
    <col min="10" max="10" width="10.88671875" bestFit="1" customWidth="1"/>
    <col min="11" max="11" width="10.33203125" bestFit="1" customWidth="1"/>
  </cols>
  <sheetData>
    <row r="1" spans="1:11" x14ac:dyDescent="0.3">
      <c r="A1" t="s">
        <v>0</v>
      </c>
    </row>
    <row r="2" spans="1:11" x14ac:dyDescent="0.3">
      <c r="B2" s="9" t="s">
        <v>6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J2" s="9" t="s">
        <v>10</v>
      </c>
      <c r="K2" s="9" t="s">
        <v>11</v>
      </c>
    </row>
    <row r="3" spans="1:11" x14ac:dyDescent="0.3">
      <c r="B3" s="9" t="s">
        <v>1</v>
      </c>
      <c r="C3">
        <f>2*8</f>
        <v>16</v>
      </c>
      <c r="D3" t="str">
        <f>J4</f>
        <v>Nova</v>
      </c>
      <c r="E3" s="11">
        <f>K4</f>
        <v>40</v>
      </c>
      <c r="F3" s="11">
        <f>E3*C3</f>
        <v>640</v>
      </c>
      <c r="G3" s="10">
        <v>100</v>
      </c>
      <c r="H3" s="11">
        <f>F3+G3</f>
        <v>740</v>
      </c>
      <c r="J3" t="s">
        <v>12</v>
      </c>
      <c r="K3" s="10">
        <f>200/8</f>
        <v>25</v>
      </c>
    </row>
    <row r="4" spans="1:11" x14ac:dyDescent="0.3">
      <c r="B4" s="9" t="s">
        <v>4</v>
      </c>
      <c r="C4">
        <f>1*8</f>
        <v>8</v>
      </c>
      <c r="D4" t="str">
        <f>J5</f>
        <v>Jean Gray</v>
      </c>
      <c r="E4" s="11">
        <f>K5</f>
        <v>50</v>
      </c>
      <c r="F4" s="11">
        <f>E4*C4</f>
        <v>400</v>
      </c>
      <c r="G4" s="10">
        <v>0</v>
      </c>
      <c r="H4" s="11">
        <f>F4+G4</f>
        <v>400</v>
      </c>
      <c r="J4" t="s">
        <v>2</v>
      </c>
      <c r="K4" s="10">
        <v>40</v>
      </c>
    </row>
    <row r="5" spans="1:11" x14ac:dyDescent="0.3">
      <c r="B5" s="9" t="s">
        <v>7</v>
      </c>
      <c r="C5">
        <f>1*8</f>
        <v>8</v>
      </c>
      <c r="D5" t="str">
        <f>J3</f>
        <v>Vespa</v>
      </c>
      <c r="E5" s="11">
        <f>K3</f>
        <v>25</v>
      </c>
      <c r="F5" s="11">
        <f>E5*C5</f>
        <v>200</v>
      </c>
      <c r="G5" s="10">
        <v>200</v>
      </c>
      <c r="H5" s="11">
        <f>F5+G5</f>
        <v>400</v>
      </c>
      <c r="J5" t="s">
        <v>13</v>
      </c>
      <c r="K5" s="10">
        <v>50</v>
      </c>
    </row>
    <row r="6" spans="1:11" x14ac:dyDescent="0.3">
      <c r="B6" s="9" t="s">
        <v>8</v>
      </c>
      <c r="C6">
        <f>9*8</f>
        <v>72</v>
      </c>
      <c r="D6" t="str">
        <f>J9</f>
        <v>Gaviã</v>
      </c>
      <c r="E6" s="11">
        <f>K9</f>
        <v>71.428571428571431</v>
      </c>
      <c r="F6" s="11">
        <f>E6*C6</f>
        <v>5142.8571428571431</v>
      </c>
      <c r="G6" s="10">
        <v>50</v>
      </c>
      <c r="H6" s="11">
        <f>F6+G6</f>
        <v>5192.8571428571431</v>
      </c>
      <c r="J6" t="s">
        <v>20</v>
      </c>
      <c r="K6" s="10">
        <f>6000/15/8</f>
        <v>50</v>
      </c>
    </row>
    <row r="7" spans="1:11" x14ac:dyDescent="0.3">
      <c r="B7" s="9" t="s">
        <v>9</v>
      </c>
      <c r="C7">
        <f>2*8</f>
        <v>16</v>
      </c>
      <c r="D7" t="str">
        <f>J7</f>
        <v>Hulking</v>
      </c>
      <c r="E7" s="11">
        <f>K7</f>
        <v>53.571428571428569</v>
      </c>
      <c r="F7" s="11">
        <f>E7*C7</f>
        <v>857.14285714285711</v>
      </c>
      <c r="G7" s="10">
        <v>0</v>
      </c>
      <c r="H7" s="11">
        <f>F7+G7</f>
        <v>857.14285714285711</v>
      </c>
      <c r="J7" t="s">
        <v>16</v>
      </c>
      <c r="K7" s="10">
        <f>3000/7/8</f>
        <v>53.571428571428569</v>
      </c>
    </row>
    <row r="8" spans="1:11" x14ac:dyDescent="0.3">
      <c r="B8" s="9" t="s">
        <v>32</v>
      </c>
      <c r="C8">
        <f>3*8</f>
        <v>24</v>
      </c>
      <c r="D8" t="str">
        <f>J4</f>
        <v>Nova</v>
      </c>
      <c r="E8" s="11">
        <f>K4</f>
        <v>40</v>
      </c>
      <c r="F8" s="11">
        <f>E8*C8</f>
        <v>960</v>
      </c>
      <c r="G8" s="10">
        <v>500</v>
      </c>
      <c r="H8" s="11">
        <f>F8+G8</f>
        <v>1460</v>
      </c>
      <c r="J8" t="s">
        <v>19</v>
      </c>
      <c r="K8" s="10">
        <f>14400/30/8</f>
        <v>60</v>
      </c>
    </row>
    <row r="9" spans="1:11" x14ac:dyDescent="0.3">
      <c r="B9" s="9" t="s">
        <v>34</v>
      </c>
      <c r="C9">
        <f>8*1</f>
        <v>8</v>
      </c>
      <c r="D9" t="str">
        <f>J4</f>
        <v>Nova</v>
      </c>
      <c r="E9" s="11">
        <f>K4</f>
        <v>40</v>
      </c>
      <c r="F9" s="11">
        <f>E9*C9</f>
        <v>320</v>
      </c>
      <c r="G9" s="10">
        <v>100</v>
      </c>
      <c r="H9" s="11">
        <f>F9+G9</f>
        <v>420</v>
      </c>
      <c r="J9" t="s">
        <v>14</v>
      </c>
      <c r="K9" s="10">
        <f>4000/7/8</f>
        <v>71.428571428571431</v>
      </c>
    </row>
    <row r="10" spans="1:11" x14ac:dyDescent="0.3">
      <c r="B10" s="9" t="s">
        <v>36</v>
      </c>
      <c r="C10">
        <f>2*8</f>
        <v>16</v>
      </c>
      <c r="D10" t="str">
        <f>J11</f>
        <v>Wiccano</v>
      </c>
      <c r="E10" s="11">
        <f>K11</f>
        <v>90</v>
      </c>
      <c r="F10" s="11">
        <f>E10*C10</f>
        <v>1440</v>
      </c>
      <c r="G10" s="10">
        <v>0</v>
      </c>
      <c r="H10" s="11">
        <f>F10+G10</f>
        <v>1440</v>
      </c>
      <c r="J10" t="s">
        <v>17</v>
      </c>
      <c r="K10" s="10">
        <f>640/8</f>
        <v>80</v>
      </c>
    </row>
    <row r="11" spans="1:11" x14ac:dyDescent="0.3">
      <c r="B11" s="9" t="s">
        <v>38</v>
      </c>
      <c r="C11">
        <f>8*2</f>
        <v>16</v>
      </c>
      <c r="D11" t="str">
        <f>J7</f>
        <v>Hulking</v>
      </c>
      <c r="E11" s="11">
        <f>K7</f>
        <v>53.571428571428569</v>
      </c>
      <c r="F11" s="11">
        <f>E11*C11</f>
        <v>857.14285714285711</v>
      </c>
      <c r="G11" s="10">
        <v>100</v>
      </c>
      <c r="H11" s="11">
        <f>F11+G11</f>
        <v>957.14285714285711</v>
      </c>
      <c r="J11" t="s">
        <v>15</v>
      </c>
      <c r="K11" s="10">
        <f>21600/30/8</f>
        <v>90</v>
      </c>
    </row>
    <row r="12" spans="1:11" x14ac:dyDescent="0.3">
      <c r="B12" s="9" t="s">
        <v>40</v>
      </c>
      <c r="C12">
        <f>8*4</f>
        <v>32</v>
      </c>
      <c r="D12" t="str">
        <f>J6</f>
        <v>Pantera</v>
      </c>
      <c r="E12" s="11">
        <f>K6</f>
        <v>50</v>
      </c>
      <c r="F12" s="11">
        <f>E12*C12</f>
        <v>1600</v>
      </c>
      <c r="G12" s="10">
        <v>0</v>
      </c>
      <c r="H12" s="11">
        <f>F12+G12</f>
        <v>1600</v>
      </c>
      <c r="J12" t="s">
        <v>21</v>
      </c>
      <c r="K12" s="10">
        <v>100</v>
      </c>
    </row>
    <row r="13" spans="1:11" x14ac:dyDescent="0.3">
      <c r="B13" s="9" t="s">
        <v>42</v>
      </c>
      <c r="C13">
        <f>8*1</f>
        <v>8</v>
      </c>
      <c r="D13" t="str">
        <f>J4</f>
        <v>Nova</v>
      </c>
      <c r="E13" s="11">
        <f>K4</f>
        <v>40</v>
      </c>
      <c r="F13" s="11">
        <f>E13*C13</f>
        <v>320</v>
      </c>
      <c r="G13" s="10">
        <v>200</v>
      </c>
      <c r="H13" s="11">
        <f>F13+G13</f>
        <v>520</v>
      </c>
      <c r="J13" t="s">
        <v>18</v>
      </c>
      <c r="K13" s="10">
        <f>1200/8</f>
        <v>150</v>
      </c>
    </row>
    <row r="14" spans="1:11" x14ac:dyDescent="0.3">
      <c r="B14" s="9" t="s">
        <v>45</v>
      </c>
      <c r="C14">
        <f>8*3</f>
        <v>24</v>
      </c>
      <c r="D14" t="str">
        <f>J3</f>
        <v>Vespa</v>
      </c>
      <c r="E14" s="11">
        <f>K3</f>
        <v>25</v>
      </c>
      <c r="F14" s="11">
        <f>E14*C14</f>
        <v>600</v>
      </c>
      <c r="G14" s="10">
        <v>300</v>
      </c>
      <c r="H14" s="11">
        <f>F14+G14</f>
        <v>900</v>
      </c>
      <c r="K14" s="10"/>
    </row>
    <row r="15" spans="1:11" x14ac:dyDescent="0.3">
      <c r="B15" s="9" t="s">
        <v>47</v>
      </c>
      <c r="C15">
        <f>8*1</f>
        <v>8</v>
      </c>
      <c r="D15" t="str">
        <f>J9</f>
        <v>Gaviã</v>
      </c>
      <c r="E15" s="11">
        <f>K9</f>
        <v>71.428571428571431</v>
      </c>
      <c r="F15" s="11">
        <f>E15*C15</f>
        <v>571.42857142857144</v>
      </c>
      <c r="G15" s="10">
        <v>0</v>
      </c>
      <c r="H15" s="11">
        <f>F15+G15</f>
        <v>571.42857142857144</v>
      </c>
      <c r="K15" s="10"/>
    </row>
    <row r="16" spans="1:11" x14ac:dyDescent="0.3">
      <c r="B16" s="9" t="s">
        <v>49</v>
      </c>
      <c r="C16">
        <f>8*3</f>
        <v>24</v>
      </c>
      <c r="D16" t="str">
        <f>J6</f>
        <v>Pantera</v>
      </c>
      <c r="E16" s="11">
        <f>K6</f>
        <v>50</v>
      </c>
      <c r="F16" s="11">
        <f>E16*C16</f>
        <v>1200</v>
      </c>
      <c r="G16" s="10">
        <v>100</v>
      </c>
      <c r="H16" s="11">
        <f>F16+G16</f>
        <v>1300</v>
      </c>
    </row>
    <row r="17" spans="2:8" x14ac:dyDescent="0.3">
      <c r="B17" s="9" t="s">
        <v>51</v>
      </c>
      <c r="C17">
        <f>2.5*8</f>
        <v>20</v>
      </c>
      <c r="D17" t="str">
        <f>J10</f>
        <v>Aranha</v>
      </c>
      <c r="E17" s="11">
        <f>K10</f>
        <v>80</v>
      </c>
      <c r="F17" s="11">
        <f>E17*C17</f>
        <v>1600</v>
      </c>
      <c r="G17" s="10">
        <v>1000</v>
      </c>
      <c r="H17" s="11">
        <f>F17+G17</f>
        <v>2600</v>
      </c>
    </row>
    <row r="18" spans="2:8" x14ac:dyDescent="0.3">
      <c r="H18" s="12">
        <f>SUM(H3:H17)</f>
        <v>19358.571428571428</v>
      </c>
    </row>
  </sheetData>
  <sortState xmlns:xlrd2="http://schemas.microsoft.com/office/spreadsheetml/2017/richdata2" ref="J3:K13">
    <sortCondition ref="K3:K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A874-A0E7-4614-A1BE-49CC6D0D0102}">
  <dimension ref="A1:C5"/>
  <sheetViews>
    <sheetView tabSelected="1" workbookViewId="0"/>
  </sheetViews>
  <sheetFormatPr defaultRowHeight="14.4" x14ac:dyDescent="0.3"/>
  <cols>
    <col min="1" max="1" width="4.88671875" bestFit="1" customWidth="1"/>
    <col min="3" max="3" width="10.33203125" bestFit="1" customWidth="1"/>
  </cols>
  <sheetData>
    <row r="1" spans="1:3" x14ac:dyDescent="0.3">
      <c r="A1" t="s">
        <v>0</v>
      </c>
    </row>
    <row r="2" spans="1:3" x14ac:dyDescent="0.3">
      <c r="B2">
        <v>25.5</v>
      </c>
      <c r="C2" t="s">
        <v>59</v>
      </c>
    </row>
    <row r="4" spans="1:3" x14ac:dyDescent="0.3">
      <c r="B4" s="9" t="s">
        <v>60</v>
      </c>
      <c r="C4" s="24">
        <v>45919</v>
      </c>
    </row>
    <row r="5" spans="1:3" x14ac:dyDescent="0.3">
      <c r="C5" t="s">
        <v>61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62B415CA2F41B03BD5FDD7749FE8" ma:contentTypeVersion="3" ma:contentTypeDescription="Crie um novo documento." ma:contentTypeScope="" ma:versionID="0c7a45822375dc822d069207f4dff0ae">
  <xsd:schema xmlns:xsd="http://www.w3.org/2001/XMLSchema" xmlns:xs="http://www.w3.org/2001/XMLSchema" xmlns:p="http://schemas.microsoft.com/office/2006/metadata/properties" xmlns:ns2="dd87c850-3583-44c6-85ce-f467ca38b0d6" targetNamespace="http://schemas.microsoft.com/office/2006/metadata/properties" ma:root="true" ma:fieldsID="c8d587cfd54e59f40b55592dab8570be" ns2:_="">
    <xsd:import namespace="dd87c850-3583-44c6-85ce-f467ca38b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c850-3583-44c6-85ce-f467ca38b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FB5905-5508-4AAA-86B2-183070DF4FC7}"/>
</file>

<file path=customXml/itemProps2.xml><?xml version="1.0" encoding="utf-8"?>
<ds:datastoreItem xmlns:ds="http://schemas.openxmlformats.org/officeDocument/2006/customXml" ds:itemID="{425534B3-2723-40BD-9E53-FC5DA67497F5}"/>
</file>

<file path=customXml/itemProps3.xml><?xml version="1.0" encoding="utf-8"?>
<ds:datastoreItem xmlns:ds="http://schemas.openxmlformats.org/officeDocument/2006/customXml" ds:itemID="{C198590D-242F-4656-8826-4363222B5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DR</vt:lpstr>
      <vt:lpstr>Custo</vt:lpstr>
      <vt:lpstr>Calendário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Parecerista</cp:lastModifiedBy>
  <dcterms:created xsi:type="dcterms:W3CDTF">2025-09-12T11:21:56Z</dcterms:created>
  <dcterms:modified xsi:type="dcterms:W3CDTF">2025-09-12T13:11:58Z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0x010100CA4962B415CA2F41B03BD5FDD7749FE8</vt:lpwstr>
  </property>
</Properties>
</file>