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\Documents\MEGA\FATEC\6° semestre\Gestão de Projetos\4\"/>
    </mc:Choice>
  </mc:AlternateContent>
  <xr:revisionPtr revIDLastSave="0" documentId="13_ncr:1_{2B199184-461B-41A9-9CE0-5F52EBCAE9B8}" xr6:coauthVersionLast="47" xr6:coauthVersionMax="47" xr10:uidLastSave="{00000000-0000-0000-0000-000000000000}"/>
  <bookViews>
    <workbookView xWindow="-120" yWindow="-120" windowWidth="20640" windowHeight="11760" activeTab="1" xr2:uid="{D2547560-3FE0-42BA-BF37-6153D49BBF50}"/>
  </bookViews>
  <sheets>
    <sheet name="Diagrama de Rede" sheetId="1" r:id="rId1"/>
    <sheet name="Custo" sheetId="2" r:id="rId2"/>
    <sheet name="Grafico de Gant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2" l="1"/>
  <c r="E12" i="2"/>
  <c r="L14" i="1"/>
  <c r="P14" i="1" s="1"/>
  <c r="L13" i="1"/>
  <c r="P13" i="1" s="1"/>
  <c r="E16" i="2"/>
  <c r="D16" i="2"/>
  <c r="M13" i="2"/>
  <c r="AQ10" i="1" l="1"/>
  <c r="D15" i="2"/>
  <c r="AM10" i="1" s="1"/>
  <c r="D14" i="2"/>
  <c r="AM5" i="1" s="1"/>
  <c r="D12" i="2"/>
  <c r="AE10" i="1" s="1"/>
  <c r="D11" i="2"/>
  <c r="AE5" i="1" s="1"/>
  <c r="D10" i="2"/>
  <c r="AA5" i="1" s="1"/>
  <c r="D9" i="2"/>
  <c r="W5" i="1" s="1"/>
  <c r="E8" i="2"/>
  <c r="D8" i="2"/>
  <c r="S5" i="1" s="1"/>
  <c r="D7" i="2"/>
  <c r="O5" i="1" s="1"/>
  <c r="D6" i="2"/>
  <c r="K10" i="1"/>
  <c r="D5" i="2"/>
  <c r="K5" i="1" s="1"/>
  <c r="D4" i="2"/>
  <c r="G5" i="1" s="1"/>
  <c r="M12" i="2"/>
  <c r="M8" i="2"/>
  <c r="M14" i="2"/>
  <c r="M11" i="2"/>
  <c r="M10" i="2"/>
  <c r="E17" i="2" s="1"/>
  <c r="F17" i="2" s="1"/>
  <c r="H17" i="2" s="1"/>
  <c r="M9" i="2"/>
  <c r="E7" i="2" s="1"/>
  <c r="F7" i="2" s="1"/>
  <c r="H7" i="2" s="1"/>
  <c r="M7" i="2"/>
  <c r="F16" i="2" s="1"/>
  <c r="H16" i="2" s="1"/>
  <c r="M6" i="2"/>
  <c r="E4" i="2" s="1"/>
  <c r="F4" i="2" s="1"/>
  <c r="H4" i="2" s="1"/>
  <c r="M5" i="2"/>
  <c r="E14" i="2" s="1"/>
  <c r="F14" i="2" s="1"/>
  <c r="H14" i="2" s="1"/>
  <c r="M4" i="2"/>
  <c r="E3" i="2" s="1"/>
  <c r="F3" i="2" s="1"/>
  <c r="H3" i="2" s="1"/>
  <c r="D17" i="2"/>
  <c r="AU5" i="1" s="1"/>
  <c r="D13" i="2"/>
  <c r="AI5" i="1" s="1"/>
  <c r="D3" i="2"/>
  <c r="C5" i="1" s="1"/>
  <c r="F8" i="2"/>
  <c r="H8" i="2" s="1"/>
  <c r="D2" i="1"/>
  <c r="F2" i="1" s="1"/>
  <c r="F10" i="2" l="1"/>
  <c r="H10" i="2" s="1"/>
  <c r="E15" i="2"/>
  <c r="F15" i="2" s="1"/>
  <c r="H15" i="2" s="1"/>
  <c r="F12" i="2"/>
  <c r="H12" i="2" s="1"/>
  <c r="E5" i="2"/>
  <c r="F5" i="2" s="1"/>
  <c r="H5" i="2" s="1"/>
  <c r="E6" i="2"/>
  <c r="F6" i="2" s="1"/>
  <c r="H6" i="2" s="1"/>
  <c r="E9" i="2"/>
  <c r="F9" i="2" s="1"/>
  <c r="H9" i="2" s="1"/>
  <c r="E11" i="2"/>
  <c r="F11" i="2" s="1"/>
  <c r="H11" i="2" s="1"/>
  <c r="E13" i="2"/>
  <c r="F13" i="2" s="1"/>
  <c r="H13" i="2" s="1"/>
  <c r="C2" i="1"/>
  <c r="H2" i="1"/>
  <c r="E20" i="2" l="1"/>
  <c r="J2" i="1"/>
  <c r="J7" i="1"/>
  <c r="G2" i="1"/>
  <c r="L7" i="1" l="1"/>
  <c r="Z2" i="1" s="1"/>
  <c r="L2" i="1"/>
  <c r="N2" i="1" s="1"/>
  <c r="K2" i="1"/>
  <c r="K7" i="1" l="1"/>
  <c r="P2" i="1"/>
  <c r="R2" i="1" s="1"/>
  <c r="O2" i="1"/>
  <c r="AB2" i="1"/>
  <c r="AA2" i="1" s="1"/>
  <c r="AD7" i="1" l="1"/>
  <c r="AD2" i="1"/>
  <c r="T2" i="1"/>
  <c r="V2" i="1" s="1"/>
  <c r="S2" i="1"/>
  <c r="X2" i="1" l="1"/>
  <c r="W2" i="1" s="1"/>
  <c r="AF2" i="1"/>
  <c r="AE2" i="1" s="1"/>
  <c r="AF7" i="1"/>
  <c r="AH2" i="1" s="1"/>
  <c r="AE7" i="1" l="1"/>
  <c r="AJ2" i="1"/>
  <c r="AI2" i="1" s="1"/>
  <c r="AL2" i="1" l="1"/>
  <c r="AL7" i="1"/>
  <c r="AN2" i="1" l="1"/>
  <c r="AM2" i="1" s="1"/>
  <c r="AN7" i="1"/>
  <c r="AP7" i="1" s="1"/>
  <c r="AM7" i="1" l="1"/>
  <c r="AR7" i="1"/>
  <c r="AT2" i="1" s="1"/>
  <c r="AQ7" i="1" l="1"/>
  <c r="AV2" i="1"/>
  <c r="E23" i="2" s="1"/>
  <c r="C2" i="3" s="1"/>
  <c r="E2" i="3" s="1"/>
  <c r="G2" i="3" s="1"/>
  <c r="I2" i="3" s="1"/>
  <c r="K2" i="3" s="1"/>
  <c r="M2" i="3" s="1"/>
  <c r="O2" i="3" s="1"/>
  <c r="Q2" i="3" s="1"/>
  <c r="S2" i="3" s="1"/>
  <c r="U2" i="3" s="1"/>
  <c r="W2" i="3" s="1"/>
  <c r="Y2" i="3" s="1"/>
  <c r="AA2" i="3" s="1"/>
  <c r="AC2" i="3" s="1"/>
  <c r="AE2" i="3" s="1"/>
  <c r="AG2" i="3" s="1"/>
  <c r="AI2" i="3" s="1"/>
  <c r="AK2" i="3" s="1"/>
  <c r="AM2" i="3" s="1"/>
  <c r="AO2" i="3" s="1"/>
  <c r="AQ2" i="3" s="1"/>
  <c r="AS2" i="3" s="1"/>
  <c r="AU2" i="3" s="1"/>
  <c r="AW2" i="3" s="1"/>
  <c r="AY2" i="3" s="1"/>
  <c r="BA2" i="3" s="1"/>
  <c r="BC2" i="3" s="1"/>
  <c r="BE2" i="3" s="1"/>
  <c r="BG2" i="3" s="1"/>
  <c r="BI2" i="3" s="1"/>
  <c r="BK2" i="3" s="1"/>
  <c r="BM2" i="3" s="1"/>
  <c r="BO2" i="3" s="1"/>
  <c r="BQ2" i="3" s="1"/>
  <c r="BS2" i="3" s="1"/>
  <c r="BU2" i="3" s="1"/>
  <c r="AU2" i="1" l="1"/>
  <c r="M18" i="2" a="1"/>
  <c r="M18" i="2" l="1"/>
  <c r="E21" i="2"/>
  <c r="E2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<sst xmlns="http://schemas.openxmlformats.org/spreadsheetml/2006/main" count="101" uniqueCount="65">
  <si>
    <t>Nova</t>
  </si>
  <si>
    <t>A</t>
  </si>
  <si>
    <t>B</t>
  </si>
  <si>
    <t>Jean Gray</t>
  </si>
  <si>
    <t>C</t>
  </si>
  <si>
    <t>D</t>
  </si>
  <si>
    <t>Gaviã</t>
  </si>
  <si>
    <t>E</t>
  </si>
  <si>
    <t>F</t>
  </si>
  <si>
    <t>G</t>
  </si>
  <si>
    <t>H</t>
  </si>
  <si>
    <t>I</t>
  </si>
  <si>
    <t>J</t>
  </si>
  <si>
    <t>Wiccano</t>
  </si>
  <si>
    <t>K</t>
  </si>
  <si>
    <t>L</t>
  </si>
  <si>
    <t>M</t>
  </si>
  <si>
    <t>N</t>
  </si>
  <si>
    <t>O</t>
  </si>
  <si>
    <t>Aranha</t>
  </si>
  <si>
    <t xml:space="preserve">Recurso Humano </t>
  </si>
  <si>
    <t>Custo (R$)</t>
  </si>
  <si>
    <t xml:space="preserve"> Base</t>
  </si>
  <si>
    <t>Vespa</t>
  </si>
  <si>
    <t>Hulkling</t>
  </si>
  <si>
    <t>Miss Marvel</t>
  </si>
  <si>
    <t>Feiticeira</t>
  </si>
  <si>
    <t>Pantera</t>
  </si>
  <si>
    <t>Tempestade</t>
  </si>
  <si>
    <t>Hora</t>
  </si>
  <si>
    <t>Dia</t>
  </si>
  <si>
    <t>Semana</t>
  </si>
  <si>
    <t>Mês</t>
  </si>
  <si>
    <t>Quinzena</t>
  </si>
  <si>
    <t>Tarefa</t>
  </si>
  <si>
    <t>Duração</t>
  </si>
  <si>
    <t>RH</t>
  </si>
  <si>
    <t>Custo RH/h</t>
  </si>
  <si>
    <t>Custo T RH</t>
  </si>
  <si>
    <t>Outros custos</t>
  </si>
  <si>
    <t>Custo Tarefa</t>
  </si>
  <si>
    <t>EMPRESA</t>
  </si>
  <si>
    <t>Custo (R$) hora</t>
  </si>
  <si>
    <t xml:space="preserve">CUSTO TOTAL </t>
  </si>
  <si>
    <t>Horas Trabalhadas</t>
  </si>
  <si>
    <t>Duração em dias corridos</t>
  </si>
  <si>
    <t>Duração em dias utéis</t>
  </si>
  <si>
    <t>Fim do projeto</t>
  </si>
  <si>
    <t>Inicio do projeto</t>
  </si>
  <si>
    <t>PROJETO</t>
  </si>
  <si>
    <t>TAREFA / DIA</t>
  </si>
  <si>
    <t>LEGENDA</t>
  </si>
  <si>
    <t>= sem expediente</t>
  </si>
  <si>
    <t>= caminho crítico</t>
  </si>
  <si>
    <t>= tarefa com folgas</t>
  </si>
  <si>
    <t>final da tarde</t>
  </si>
  <si>
    <t>começo da tarde</t>
  </si>
  <si>
    <t>Quantidade dias de folga durante projeto</t>
  </si>
  <si>
    <t>tarefas</t>
  </si>
  <si>
    <t>quantidade</t>
  </si>
  <si>
    <t>% do projeto</t>
  </si>
  <si>
    <t>3(2*); 5(2*); 6(2*); 7(2*);9(2); 12(1)</t>
  </si>
  <si>
    <t>1; 2; 4; 8; 10; 11; 13; 14; 15</t>
  </si>
  <si>
    <t>CC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</si>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</sst>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rgb="FF000000"/>
      <name val="Aptos Display"/>
      <family val="2"/>
    </font>
    <font>
      <sz val="11"/>
      <color theme="1"/>
      <name val="Aptos Display"/>
      <family val="2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Bell MT"/>
      <family val="1"/>
    </font>
    <font>
      <b/>
      <sz val="12"/>
      <color rgb="FF000000"/>
      <name val="Aptos Narrow"/>
      <family val="2"/>
      <scheme val="minor"/>
    </font>
    <font>
      <b/>
      <sz val="9"/>
      <color theme="1"/>
      <name val="Aptos"/>
      <family val="2"/>
    </font>
    <font>
      <b/>
      <sz val="12"/>
      <color rgb="FFFF000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7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3" fillId="0" borderId="0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44" fontId="4" fillId="0" borderId="7" xfId="0" applyNumberFormat="1" applyFont="1" applyBorder="1" applyAlignment="1">
      <alignment vertical="center"/>
    </xf>
    <xf numFmtId="44" fontId="0" fillId="0" borderId="14" xfId="1" applyNumberFormat="1" applyFont="1" applyBorder="1" applyAlignment="1">
      <alignment horizontal="left" vertical="center"/>
    </xf>
    <xf numFmtId="44" fontId="0" fillId="0" borderId="16" xfId="1" applyNumberFormat="1" applyFont="1" applyBorder="1" applyAlignment="1">
      <alignment horizontal="left" vertical="center"/>
    </xf>
    <xf numFmtId="44" fontId="0" fillId="0" borderId="17" xfId="1" applyNumberFormat="1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44" fontId="4" fillId="0" borderId="23" xfId="0" applyNumberFormat="1" applyFont="1" applyBorder="1" applyAlignment="1">
      <alignment vertical="center"/>
    </xf>
    <xf numFmtId="0" fontId="0" fillId="0" borderId="9" xfId="0" applyBorder="1"/>
    <xf numFmtId="44" fontId="4" fillId="0" borderId="14" xfId="0" applyNumberFormat="1" applyFont="1" applyBorder="1" applyAlignment="1">
      <alignment vertical="center"/>
    </xf>
    <xf numFmtId="44" fontId="4" fillId="0" borderId="16" xfId="0" applyNumberFormat="1" applyFont="1" applyBorder="1" applyAlignment="1">
      <alignment vertical="center"/>
    </xf>
    <xf numFmtId="44" fontId="0" fillId="0" borderId="14" xfId="0" applyNumberFormat="1" applyBorder="1" applyAlignment="1">
      <alignment vertical="center"/>
    </xf>
    <xf numFmtId="44" fontId="0" fillId="0" borderId="16" xfId="0" applyNumberForma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0" xfId="0" applyFont="1"/>
    <xf numFmtId="14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/>
    <xf numFmtId="0" fontId="10" fillId="0" borderId="27" xfId="0" applyFont="1" applyBorder="1" applyAlignment="1"/>
    <xf numFmtId="0" fontId="10" fillId="0" borderId="28" xfId="0" applyFont="1" applyBorder="1" applyAlignment="1"/>
    <xf numFmtId="0" fontId="10" fillId="0" borderId="29" xfId="0" applyFont="1" applyBorder="1" applyAlignment="1"/>
    <xf numFmtId="0" fontId="10" fillId="0" borderId="30" xfId="0" applyFont="1" applyBorder="1" applyAlignment="1"/>
    <xf numFmtId="0" fontId="10" fillId="0" borderId="31" xfId="0" applyFont="1" applyBorder="1" applyAlignment="1"/>
    <xf numFmtId="0" fontId="10" fillId="0" borderId="32" xfId="0" applyFont="1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33" xfId="0" applyBorder="1" applyAlignment="1"/>
    <xf numFmtId="0" fontId="0" fillId="0" borderId="34" xfId="0" applyBorder="1" applyAlignment="1"/>
    <xf numFmtId="0" fontId="10" fillId="3" borderId="28" xfId="0" applyFont="1" applyFill="1" applyBorder="1" applyAlignment="1"/>
    <xf numFmtId="0" fontId="10" fillId="3" borderId="30" xfId="0" applyFont="1" applyFill="1" applyBorder="1" applyAlignment="1"/>
    <xf numFmtId="0" fontId="10" fillId="3" borderId="32" xfId="0" applyFont="1" applyFill="1" applyBorder="1" applyAlignment="1"/>
    <xf numFmtId="0" fontId="0" fillId="3" borderId="32" xfId="0" applyFill="1" applyBorder="1" applyAlignment="1"/>
    <xf numFmtId="0" fontId="0" fillId="3" borderId="34" xfId="0" applyFill="1" applyBorder="1" applyAlignment="1"/>
    <xf numFmtId="0" fontId="10" fillId="0" borderId="25" xfId="0" applyFont="1" applyBorder="1" applyAlignment="1"/>
    <xf numFmtId="0" fontId="10" fillId="0" borderId="15" xfId="0" applyFont="1" applyBorder="1" applyAlignment="1"/>
    <xf numFmtId="0" fontId="10" fillId="0" borderId="18" xfId="0" applyFont="1" applyBorder="1" applyAlignment="1"/>
    <xf numFmtId="0" fontId="0" fillId="0" borderId="35" xfId="0" applyBorder="1" applyAlignment="1"/>
    <xf numFmtId="0" fontId="10" fillId="0" borderId="24" xfId="0" applyFont="1" applyBorder="1" applyAlignment="1"/>
    <xf numFmtId="0" fontId="10" fillId="0" borderId="20" xfId="0" applyFont="1" applyBorder="1" applyAlignment="1"/>
    <xf numFmtId="0" fontId="10" fillId="0" borderId="26" xfId="0" applyFont="1" applyBorder="1" applyAlignment="1"/>
    <xf numFmtId="0" fontId="0" fillId="0" borderId="26" xfId="0" applyBorder="1" applyAlignment="1"/>
    <xf numFmtId="0" fontId="0" fillId="0" borderId="36" xfId="0" applyBorder="1" applyAlignment="1"/>
    <xf numFmtId="0" fontId="10" fillId="0" borderId="37" xfId="0" applyFont="1" applyBorder="1" applyAlignment="1"/>
    <xf numFmtId="0" fontId="10" fillId="3" borderId="38" xfId="0" applyFont="1" applyFill="1" applyBorder="1" applyAlignment="1"/>
    <xf numFmtId="0" fontId="10" fillId="0" borderId="38" xfId="0" applyFont="1" applyBorder="1" applyAlignment="1"/>
    <xf numFmtId="0" fontId="10" fillId="0" borderId="0" xfId="0" applyFont="1" applyBorder="1" applyAlignment="1"/>
    <xf numFmtId="0" fontId="10" fillId="2" borderId="4" xfId="0" applyFont="1" applyFill="1" applyBorder="1" applyAlignment="1"/>
    <xf numFmtId="0" fontId="9" fillId="0" borderId="6" xfId="0" quotePrefix="1" applyFont="1" applyBorder="1"/>
    <xf numFmtId="0" fontId="9" fillId="3" borderId="46" xfId="0" applyFont="1" applyFill="1" applyBorder="1"/>
    <xf numFmtId="0" fontId="9" fillId="0" borderId="47" xfId="0" quotePrefix="1" applyFont="1" applyBorder="1"/>
    <xf numFmtId="0" fontId="9" fillId="2" borderId="46" xfId="0" applyFont="1" applyFill="1" applyBorder="1"/>
    <xf numFmtId="0" fontId="9" fillId="4" borderId="5" xfId="0" applyFont="1" applyFill="1" applyBorder="1"/>
    <xf numFmtId="0" fontId="10" fillId="2" borderId="24" xfId="0" applyFont="1" applyFill="1" applyBorder="1" applyAlignment="1"/>
    <xf numFmtId="0" fontId="0" fillId="0" borderId="0" xfId="0" applyBorder="1"/>
    <xf numFmtId="0" fontId="10" fillId="2" borderId="15" xfId="0" applyFont="1" applyFill="1" applyBorder="1" applyAlignment="1"/>
    <xf numFmtId="0" fontId="10" fillId="2" borderId="48" xfId="0" applyFont="1" applyFill="1" applyBorder="1" applyAlignment="1"/>
    <xf numFmtId="0" fontId="10" fillId="0" borderId="49" xfId="0" applyFont="1" applyBorder="1" applyAlignment="1"/>
    <xf numFmtId="0" fontId="10" fillId="0" borderId="50" xfId="0" applyFont="1" applyBorder="1" applyAlignment="1"/>
    <xf numFmtId="0" fontId="10" fillId="5" borderId="27" xfId="0" applyFont="1" applyFill="1" applyBorder="1" applyAlignment="1"/>
    <xf numFmtId="0" fontId="10" fillId="5" borderId="24" xfId="0" applyFont="1" applyFill="1" applyBorder="1" applyAlignment="1"/>
    <xf numFmtId="0" fontId="10" fillId="5" borderId="15" xfId="0" applyFont="1" applyFill="1" applyBorder="1" applyAlignment="1"/>
    <xf numFmtId="0" fontId="10" fillId="5" borderId="20" xfId="0" applyFont="1" applyFill="1" applyBorder="1" applyAlignment="1"/>
    <xf numFmtId="0" fontId="10" fillId="5" borderId="30" xfId="0" applyFont="1" applyFill="1" applyBorder="1" applyAlignment="1"/>
    <xf numFmtId="0" fontId="10" fillId="2" borderId="20" xfId="0" applyFont="1" applyFill="1" applyBorder="1" applyAlignment="1"/>
    <xf numFmtId="0" fontId="10" fillId="2" borderId="30" xfId="0" applyFont="1" applyFill="1" applyBorder="1" applyAlignment="1"/>
    <xf numFmtId="0" fontId="10" fillId="2" borderId="51" xfId="0" applyFont="1" applyFill="1" applyBorder="1" applyAlignment="1"/>
    <xf numFmtId="0" fontId="10" fillId="4" borderId="31" xfId="0" applyFont="1" applyFill="1" applyBorder="1" applyAlignment="1"/>
    <xf numFmtId="0" fontId="10" fillId="4" borderId="26" xfId="0" applyFont="1" applyFill="1" applyBorder="1" applyAlignment="1"/>
    <xf numFmtId="0" fontId="10" fillId="4" borderId="15" xfId="0" applyFont="1" applyFill="1" applyBorder="1" applyAlignment="1"/>
    <xf numFmtId="0" fontId="10" fillId="4" borderId="20" xfId="0" applyFont="1" applyFill="1" applyBorder="1" applyAlignment="1"/>
    <xf numFmtId="0" fontId="10" fillId="4" borderId="30" xfId="0" applyFont="1" applyFill="1" applyBorder="1" applyAlignment="1"/>
    <xf numFmtId="0" fontId="10" fillId="2" borderId="26" xfId="0" applyFont="1" applyFill="1" applyBorder="1" applyAlignment="1"/>
    <xf numFmtId="0" fontId="10" fillId="2" borderId="52" xfId="0" applyFont="1" applyFill="1" applyBorder="1" applyAlignment="1"/>
    <xf numFmtId="0" fontId="10" fillId="4" borderId="52" xfId="0" applyFont="1" applyFill="1" applyBorder="1" applyAlignment="1"/>
    <xf numFmtId="0" fontId="0" fillId="2" borderId="32" xfId="0" applyFill="1" applyBorder="1" applyAlignment="1"/>
    <xf numFmtId="0" fontId="0" fillId="2" borderId="52" xfId="0" applyFill="1" applyBorder="1" applyAlignment="1"/>
    <xf numFmtId="0" fontId="0" fillId="2" borderId="20" xfId="0" applyFill="1" applyBorder="1" applyAlignment="1"/>
    <xf numFmtId="0" fontId="0" fillId="2" borderId="15" xfId="0" applyFill="1" applyBorder="1" applyAlignment="1"/>
    <xf numFmtId="0" fontId="0" fillId="2" borderId="36" xfId="0" applyFill="1" applyBorder="1" applyAlignment="1"/>
    <xf numFmtId="0" fontId="0" fillId="2" borderId="54" xfId="0" applyFill="1" applyBorder="1" applyAlignment="1"/>
    <xf numFmtId="0" fontId="0" fillId="2" borderId="53" xfId="0" applyFill="1" applyBorder="1" applyAlignment="1"/>
    <xf numFmtId="0" fontId="10" fillId="2" borderId="56" xfId="0" applyFont="1" applyFill="1" applyBorder="1" applyAlignment="1"/>
    <xf numFmtId="0" fontId="10" fillId="2" borderId="55" xfId="0" applyFont="1" applyFill="1" applyBorder="1" applyAlignment="1"/>
    <xf numFmtId="0" fontId="10" fillId="3" borderId="57" xfId="0" applyFont="1" applyFill="1" applyBorder="1" applyAlignment="1"/>
    <xf numFmtId="0" fontId="10" fillId="3" borderId="51" xfId="0" applyFont="1" applyFill="1" applyBorder="1" applyAlignment="1"/>
    <xf numFmtId="0" fontId="10" fillId="3" borderId="58" xfId="0" applyFont="1" applyFill="1" applyBorder="1" applyAlignment="1"/>
    <xf numFmtId="0" fontId="10" fillId="3" borderId="52" xfId="0" applyFont="1" applyFill="1" applyBorder="1" applyAlignment="1"/>
    <xf numFmtId="0" fontId="0" fillId="3" borderId="52" xfId="0" applyFill="1" applyBorder="1" applyAlignment="1"/>
    <xf numFmtId="0" fontId="0" fillId="3" borderId="59" xfId="0" applyFill="1" applyBorder="1" applyAlignme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4" fillId="0" borderId="0" xfId="0" applyFont="1"/>
    <xf numFmtId="164" fontId="0" fillId="0" borderId="22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left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4" fontId="13" fillId="0" borderId="39" xfId="0" applyNumberFormat="1" applyFont="1" applyBorder="1" applyAlignment="1">
      <alignment horizontal="center" vertical="center"/>
    </xf>
    <xf numFmtId="14" fontId="13" fillId="0" borderId="40" xfId="0" applyNumberFormat="1" applyFont="1" applyBorder="1" applyAlignment="1">
      <alignment horizontal="center" vertical="center"/>
    </xf>
    <xf numFmtId="14" fontId="13" fillId="0" borderId="42" xfId="0" applyNumberFormat="1" applyFont="1" applyBorder="1" applyAlignment="1">
      <alignment horizontal="center" vertical="center"/>
    </xf>
    <xf numFmtId="14" fontId="13" fillId="0" borderId="41" xfId="0" applyNumberFormat="1" applyFont="1" applyBorder="1" applyAlignment="1">
      <alignment horizontal="center" vertical="center"/>
    </xf>
    <xf numFmtId="14" fontId="13" fillId="0" borderId="44" xfId="0" applyNumberFormat="1" applyFont="1" applyBorder="1" applyAlignment="1">
      <alignment horizontal="center" vertical="center"/>
    </xf>
    <xf numFmtId="14" fontId="13" fillId="0" borderId="43" xfId="0" applyNumberFormat="1" applyFont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4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4" fillId="0" borderId="46" xfId="0" applyFont="1" applyFill="1" applyBorder="1" applyAlignment="1">
      <alignment horizontal="center" vertical="center"/>
    </xf>
    <xf numFmtId="0" fontId="14" fillId="0" borderId="47" xfId="0" applyFont="1" applyFill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60" xfId="0" applyNumberForma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9" fontId="16" fillId="0" borderId="1" xfId="2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161925</xdr:rowOff>
    </xdr:from>
    <xdr:to>
      <xdr:col>13</xdr:col>
      <xdr:colOff>28575</xdr:colOff>
      <xdr:row>2</xdr:row>
      <xdr:rowOff>161925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CABCC8DA-2142-4BEC-9A62-ADD603BE6D7E}"/>
            </a:ext>
          </a:extLst>
        </xdr:cNvPr>
        <xdr:cNvCxnSpPr/>
      </xdr:nvCxnSpPr>
      <xdr:spPr>
        <a:xfrm>
          <a:off x="5114925" y="542925"/>
          <a:ext cx="2476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0</xdr:rowOff>
    </xdr:from>
    <xdr:to>
      <xdr:col>9</xdr:col>
      <xdr:colOff>95250</xdr:colOff>
      <xdr:row>3</xdr:row>
      <xdr:rowOff>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94A9859B-C7E8-440E-9563-A1209C65E38C}"/>
            </a:ext>
          </a:extLst>
        </xdr:cNvPr>
        <xdr:cNvCxnSpPr/>
      </xdr:nvCxnSpPr>
      <xdr:spPr>
        <a:xfrm>
          <a:off x="4229100" y="571500"/>
          <a:ext cx="2476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</xdr:row>
      <xdr:rowOff>0</xdr:rowOff>
    </xdr:from>
    <xdr:to>
      <xdr:col>5</xdr:col>
      <xdr:colOff>76200</xdr:colOff>
      <xdr:row>3</xdr:row>
      <xdr:rowOff>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1C578571-78CC-43CD-92CD-AF14CC17EEEA}"/>
            </a:ext>
          </a:extLst>
        </xdr:cNvPr>
        <xdr:cNvCxnSpPr/>
      </xdr:nvCxnSpPr>
      <xdr:spPr>
        <a:xfrm>
          <a:off x="3543300" y="571500"/>
          <a:ext cx="2476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38100</xdr:colOff>
      <xdr:row>3</xdr:row>
      <xdr:rowOff>0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83BFEDED-00D4-43D3-B1FF-75FD415B60D6}"/>
            </a:ext>
          </a:extLst>
        </xdr:cNvPr>
        <xdr:cNvCxnSpPr/>
      </xdr:nvCxnSpPr>
      <xdr:spPr>
        <a:xfrm>
          <a:off x="5848350" y="571500"/>
          <a:ext cx="2476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</xdr:row>
      <xdr:rowOff>0</xdr:rowOff>
    </xdr:from>
    <xdr:to>
      <xdr:col>20</xdr:col>
      <xdr:colOff>247650</xdr:colOff>
      <xdr:row>3</xdr:row>
      <xdr:rowOff>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122E9F5F-850B-4518-96C4-2221805D942A}"/>
            </a:ext>
          </a:extLst>
        </xdr:cNvPr>
        <xdr:cNvCxnSpPr/>
      </xdr:nvCxnSpPr>
      <xdr:spPr>
        <a:xfrm>
          <a:off x="6572250" y="571500"/>
          <a:ext cx="2476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3</xdr:row>
      <xdr:rowOff>0</xdr:rowOff>
    </xdr:from>
    <xdr:to>
      <xdr:col>25</xdr:col>
      <xdr:colOff>47625</xdr:colOff>
      <xdr:row>3</xdr:row>
      <xdr:rowOff>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7E4F39C1-2157-4FB7-86D8-3BB5D4C33944}"/>
            </a:ext>
          </a:extLst>
        </xdr:cNvPr>
        <xdr:cNvCxnSpPr/>
      </xdr:nvCxnSpPr>
      <xdr:spPr>
        <a:xfrm>
          <a:off x="7553325" y="571500"/>
          <a:ext cx="2476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66675</xdr:colOff>
      <xdr:row>3</xdr:row>
      <xdr:rowOff>0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03A2E65F-9C4C-42E8-954C-0566F12E97A6}"/>
            </a:ext>
          </a:extLst>
        </xdr:cNvPr>
        <xdr:cNvCxnSpPr/>
      </xdr:nvCxnSpPr>
      <xdr:spPr>
        <a:xfrm>
          <a:off x="8734425" y="571500"/>
          <a:ext cx="2476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3</xdr:row>
      <xdr:rowOff>0</xdr:rowOff>
    </xdr:from>
    <xdr:to>
      <xdr:col>33</xdr:col>
      <xdr:colOff>47625</xdr:colOff>
      <xdr:row>3</xdr:row>
      <xdr:rowOff>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CF32AE8C-2231-4828-8B95-87585CD51B1D}"/>
            </a:ext>
          </a:extLst>
        </xdr:cNvPr>
        <xdr:cNvCxnSpPr/>
      </xdr:nvCxnSpPr>
      <xdr:spPr>
        <a:xfrm>
          <a:off x="9696450" y="571500"/>
          <a:ext cx="2476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3</xdr:row>
      <xdr:rowOff>0</xdr:rowOff>
    </xdr:from>
    <xdr:to>
      <xdr:col>37</xdr:col>
      <xdr:colOff>47625</xdr:colOff>
      <xdr:row>3</xdr:row>
      <xdr:rowOff>0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A2F4BD43-5B9D-4AAF-A2AD-46E658789079}"/>
            </a:ext>
          </a:extLst>
        </xdr:cNvPr>
        <xdr:cNvCxnSpPr/>
      </xdr:nvCxnSpPr>
      <xdr:spPr>
        <a:xfrm>
          <a:off x="10677525" y="571500"/>
          <a:ext cx="2476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3</xdr:row>
      <xdr:rowOff>0</xdr:rowOff>
    </xdr:from>
    <xdr:to>
      <xdr:col>45</xdr:col>
      <xdr:colOff>47625</xdr:colOff>
      <xdr:row>3</xdr:row>
      <xdr:rowOff>9525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1FE99583-5625-40B2-9842-96DA906041E1}"/>
            </a:ext>
          </a:extLst>
        </xdr:cNvPr>
        <xdr:cNvCxnSpPr/>
      </xdr:nvCxnSpPr>
      <xdr:spPr>
        <a:xfrm>
          <a:off x="11658600" y="571500"/>
          <a:ext cx="114300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8</xdr:row>
      <xdr:rowOff>95250</xdr:rowOff>
    </xdr:from>
    <xdr:to>
      <xdr:col>41</xdr:col>
      <xdr:colOff>85725</xdr:colOff>
      <xdr:row>8</xdr:row>
      <xdr:rowOff>95250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8871B5B3-E7AD-4C79-9120-95D5A6349FE3}"/>
            </a:ext>
          </a:extLst>
        </xdr:cNvPr>
        <xdr:cNvCxnSpPr/>
      </xdr:nvCxnSpPr>
      <xdr:spPr>
        <a:xfrm>
          <a:off x="11658600" y="1619250"/>
          <a:ext cx="2476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66676</xdr:colOff>
      <xdr:row>2</xdr:row>
      <xdr:rowOff>190499</xdr:rowOff>
    </xdr:from>
    <xdr:to>
      <xdr:col>9</xdr:col>
      <xdr:colOff>47626</xdr:colOff>
      <xdr:row>8</xdr:row>
      <xdr:rowOff>85724</xdr:rowOff>
    </xdr:to>
    <xdr:cxnSp macro="">
      <xdr:nvCxnSpPr>
        <xdr:cNvPr id="19" name="Conector: Angulado 18">
          <a:extLst>
            <a:ext uri="{FF2B5EF4-FFF2-40B4-BE49-F238E27FC236}">
              <a16:creationId xmlns:a16="http://schemas.microsoft.com/office/drawing/2014/main" id="{044D609A-CA7D-F8DE-9449-BF43E064C92E}"/>
            </a:ext>
          </a:extLst>
        </xdr:cNvPr>
        <xdr:cNvCxnSpPr/>
      </xdr:nvCxnSpPr>
      <xdr:spPr>
        <a:xfrm rot="16200000" flipH="1">
          <a:off x="3843338" y="1023937"/>
          <a:ext cx="1038225" cy="133350"/>
        </a:xfrm>
        <a:prstGeom prst="bentConnector3">
          <a:avLst>
            <a:gd name="adj1" fmla="val 9862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85725</xdr:colOff>
      <xdr:row>3</xdr:row>
      <xdr:rowOff>0</xdr:rowOff>
    </xdr:from>
    <xdr:to>
      <xdr:col>29</xdr:col>
      <xdr:colOff>38100</xdr:colOff>
      <xdr:row>8</xdr:row>
      <xdr:rowOff>85725</xdr:rowOff>
    </xdr:to>
    <xdr:cxnSp macro="">
      <xdr:nvCxnSpPr>
        <xdr:cNvPr id="21" name="Conector: Angulado 20">
          <a:extLst>
            <a:ext uri="{FF2B5EF4-FFF2-40B4-BE49-F238E27FC236}">
              <a16:creationId xmlns:a16="http://schemas.microsoft.com/office/drawing/2014/main" id="{3A08BC67-C268-4C64-8360-9B45383B4694}"/>
            </a:ext>
          </a:extLst>
        </xdr:cNvPr>
        <xdr:cNvCxnSpPr/>
      </xdr:nvCxnSpPr>
      <xdr:spPr>
        <a:xfrm rot="16200000" flipH="1">
          <a:off x="8367712" y="1023938"/>
          <a:ext cx="1038225" cy="133350"/>
        </a:xfrm>
        <a:prstGeom prst="bentConnector3">
          <a:avLst>
            <a:gd name="adj1" fmla="val 9862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123825</xdr:colOff>
      <xdr:row>3</xdr:row>
      <xdr:rowOff>0</xdr:rowOff>
    </xdr:from>
    <xdr:to>
      <xdr:col>37</xdr:col>
      <xdr:colOff>57150</xdr:colOff>
      <xdr:row>8</xdr:row>
      <xdr:rowOff>85725</xdr:rowOff>
    </xdr:to>
    <xdr:cxnSp macro="">
      <xdr:nvCxnSpPr>
        <xdr:cNvPr id="22" name="Conector: Angulado 21">
          <a:extLst>
            <a:ext uri="{FF2B5EF4-FFF2-40B4-BE49-F238E27FC236}">
              <a16:creationId xmlns:a16="http://schemas.microsoft.com/office/drawing/2014/main" id="{27F0DFBE-27BE-462D-A407-6C587B23F539}"/>
            </a:ext>
          </a:extLst>
        </xdr:cNvPr>
        <xdr:cNvCxnSpPr/>
      </xdr:nvCxnSpPr>
      <xdr:spPr>
        <a:xfrm rot="16200000" flipH="1">
          <a:off x="10348912" y="1023938"/>
          <a:ext cx="1038225" cy="133350"/>
        </a:xfrm>
        <a:prstGeom prst="bentConnector3">
          <a:avLst>
            <a:gd name="adj1" fmla="val 9862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</xdr:row>
      <xdr:rowOff>0</xdr:rowOff>
    </xdr:from>
    <xdr:to>
      <xdr:col>24</xdr:col>
      <xdr:colOff>57150</xdr:colOff>
      <xdr:row>8</xdr:row>
      <xdr:rowOff>19050</xdr:rowOff>
    </xdr:to>
    <xdr:cxnSp macro="">
      <xdr:nvCxnSpPr>
        <xdr:cNvPr id="30" name="Conector: Angulado 29">
          <a:extLst>
            <a:ext uri="{FF2B5EF4-FFF2-40B4-BE49-F238E27FC236}">
              <a16:creationId xmlns:a16="http://schemas.microsoft.com/office/drawing/2014/main" id="{CFE3A45C-4853-8497-B1EB-7E5CDF6B4653}"/>
            </a:ext>
          </a:extLst>
        </xdr:cNvPr>
        <xdr:cNvCxnSpPr/>
      </xdr:nvCxnSpPr>
      <xdr:spPr>
        <a:xfrm flipV="1">
          <a:off x="2876550" y="542925"/>
          <a:ext cx="2628900" cy="971550"/>
        </a:xfrm>
        <a:prstGeom prst="bentConnector3">
          <a:avLst>
            <a:gd name="adj1" fmla="val 100725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190503</xdr:colOff>
      <xdr:row>2</xdr:row>
      <xdr:rowOff>180976</xdr:rowOff>
    </xdr:from>
    <xdr:to>
      <xdr:col>32</xdr:col>
      <xdr:colOff>104775</xdr:colOff>
      <xdr:row>8</xdr:row>
      <xdr:rowOff>95251</xdr:rowOff>
    </xdr:to>
    <xdr:cxnSp macro="">
      <xdr:nvCxnSpPr>
        <xdr:cNvPr id="33" name="Conector: Angulado 32">
          <a:extLst>
            <a:ext uri="{FF2B5EF4-FFF2-40B4-BE49-F238E27FC236}">
              <a16:creationId xmlns:a16="http://schemas.microsoft.com/office/drawing/2014/main" id="{D2646403-2AB9-D6F8-56F4-391B02F3B391}"/>
            </a:ext>
          </a:extLst>
        </xdr:cNvPr>
        <xdr:cNvCxnSpPr/>
      </xdr:nvCxnSpPr>
      <xdr:spPr>
        <a:xfrm rot="5400000" flipH="1" flipV="1">
          <a:off x="9215439" y="1033465"/>
          <a:ext cx="1057275" cy="114297"/>
        </a:xfrm>
        <a:prstGeom prst="bentConnector3">
          <a:avLst>
            <a:gd name="adj1" fmla="val -45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190500</xdr:colOff>
      <xdr:row>3</xdr:row>
      <xdr:rowOff>0</xdr:rowOff>
    </xdr:from>
    <xdr:to>
      <xdr:col>44</xdr:col>
      <xdr:colOff>104772</xdr:colOff>
      <xdr:row>8</xdr:row>
      <xdr:rowOff>104775</xdr:rowOff>
    </xdr:to>
    <xdr:cxnSp macro="">
      <xdr:nvCxnSpPr>
        <xdr:cNvPr id="42" name="Conector: Angulado 41">
          <a:extLst>
            <a:ext uri="{FF2B5EF4-FFF2-40B4-BE49-F238E27FC236}">
              <a16:creationId xmlns:a16="http://schemas.microsoft.com/office/drawing/2014/main" id="{74583DDE-13DC-4634-822D-499FBF026B09}"/>
            </a:ext>
          </a:extLst>
        </xdr:cNvPr>
        <xdr:cNvCxnSpPr/>
      </xdr:nvCxnSpPr>
      <xdr:spPr>
        <a:xfrm rot="5400000" flipH="1" flipV="1">
          <a:off x="12120561" y="1042989"/>
          <a:ext cx="1057275" cy="114297"/>
        </a:xfrm>
        <a:prstGeom prst="bentConnector3">
          <a:avLst>
            <a:gd name="adj1" fmla="val -45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06EA-C71D-487D-9BAD-6FF3C9E29EF6}">
  <dimension ref="A1:AV14"/>
  <sheetViews>
    <sheetView workbookViewId="0">
      <selection activeCell="P18" sqref="P18"/>
    </sheetView>
  </sheetViews>
  <sheetFormatPr defaultRowHeight="15" x14ac:dyDescent="0.25"/>
  <cols>
    <col min="1" max="1" width="3" customWidth="1"/>
    <col min="2" max="2" width="2.140625" customWidth="1"/>
    <col min="3" max="3" width="7.140625" customWidth="1"/>
    <col min="4" max="4" width="2.28515625" customWidth="1"/>
    <col min="5" max="5" width="1.42578125" customWidth="1"/>
    <col min="6" max="6" width="2.42578125" customWidth="1"/>
    <col min="7" max="7" width="9.42578125" customWidth="1"/>
    <col min="8" max="8" width="2" bestFit="1" customWidth="1"/>
    <col min="9" max="9" width="1.7109375" customWidth="1"/>
    <col min="10" max="10" width="2" bestFit="1" customWidth="1"/>
    <col min="11" max="11" width="9.85546875" customWidth="1"/>
    <col min="12" max="12" width="3" bestFit="1" customWidth="1"/>
    <col min="13" max="13" width="1.7109375" customWidth="1"/>
    <col min="14" max="14" width="2" bestFit="1" customWidth="1"/>
    <col min="15" max="15" width="8.7109375" customWidth="1"/>
    <col min="16" max="18" width="2" bestFit="1" customWidth="1"/>
    <col min="19" max="19" width="6.42578125" customWidth="1"/>
    <col min="20" max="22" width="2" bestFit="1" customWidth="1"/>
    <col min="23" max="23" width="6.42578125" customWidth="1"/>
    <col min="24" max="24" width="3" bestFit="1" customWidth="1"/>
    <col min="25" max="25" width="2" customWidth="1"/>
    <col min="26" max="26" width="3" bestFit="1" customWidth="1"/>
    <col min="27" max="27" width="8.7109375" bestFit="1" customWidth="1"/>
    <col min="28" max="28" width="3" customWidth="1"/>
    <col min="29" max="29" width="2" customWidth="1"/>
    <col min="30" max="30" width="3" bestFit="1" customWidth="1"/>
    <col min="31" max="31" width="9.5703125" customWidth="1"/>
    <col min="32" max="32" width="3" bestFit="1" customWidth="1"/>
    <col min="33" max="33" width="2.5703125" customWidth="1"/>
    <col min="34" max="34" width="3" bestFit="1" customWidth="1"/>
    <col min="35" max="35" width="5.7109375" bestFit="1" customWidth="1"/>
    <col min="36" max="36" width="3.140625" customWidth="1"/>
    <col min="37" max="37" width="3" customWidth="1"/>
    <col min="38" max="38" width="3" bestFit="1" customWidth="1"/>
    <col min="39" max="39" width="8.140625" customWidth="1"/>
    <col min="40" max="40" width="3" customWidth="1"/>
    <col min="41" max="41" width="2.140625" customWidth="1"/>
    <col min="42" max="42" width="3" bestFit="1" customWidth="1"/>
    <col min="43" max="43" width="6.7109375" customWidth="1"/>
    <col min="44" max="44" width="3" bestFit="1" customWidth="1"/>
    <col min="45" max="45" width="2.42578125" customWidth="1"/>
    <col min="46" max="46" width="3" bestFit="1" customWidth="1"/>
    <col min="47" max="47" width="8" customWidth="1"/>
    <col min="48" max="48" width="5" bestFit="1" customWidth="1"/>
    <col min="49" max="49" width="9.140625" customWidth="1"/>
  </cols>
  <sheetData>
    <row r="1" spans="1:48" ht="12.75" customHeight="1" x14ac:dyDescent="0.25">
      <c r="A1" s="3"/>
    </row>
    <row r="2" spans="1:48" x14ac:dyDescent="0.25">
      <c r="B2" s="10">
        <v>0</v>
      </c>
      <c r="C2" s="10" t="str">
        <f>B2+1&amp;"-"&amp;D2</f>
        <v>1-2</v>
      </c>
      <c r="D2" s="10">
        <f>B2+D5</f>
        <v>2</v>
      </c>
      <c r="F2" s="10">
        <f>D2</f>
        <v>2</v>
      </c>
      <c r="G2" s="10" t="str">
        <f>F2+1&amp;"-"&amp;H2</f>
        <v>3-3</v>
      </c>
      <c r="H2" s="10">
        <f>F2+H5</f>
        <v>3</v>
      </c>
      <c r="J2" s="11">
        <f>H2</f>
        <v>3</v>
      </c>
      <c r="K2" s="11" t="str">
        <f>J2+1&amp;"-"&amp;L2</f>
        <v>4-4</v>
      </c>
      <c r="L2" s="11">
        <f>J2+L5</f>
        <v>4</v>
      </c>
      <c r="M2" s="12"/>
      <c r="N2" s="11">
        <f>L2</f>
        <v>4</v>
      </c>
      <c r="O2" s="11" t="str">
        <f>N2+1&amp;"-"&amp;P2</f>
        <v>5-6</v>
      </c>
      <c r="P2" s="11">
        <f>N2+P5</f>
        <v>6</v>
      </c>
      <c r="Q2" s="12"/>
      <c r="R2" s="11">
        <f>P2</f>
        <v>6</v>
      </c>
      <c r="S2" s="11" t="str">
        <f>R2+1&amp;"-"&amp;T2</f>
        <v>7-9</v>
      </c>
      <c r="T2" s="11">
        <f>R2+T5</f>
        <v>9</v>
      </c>
      <c r="U2" s="12"/>
      <c r="V2" s="11">
        <f>T2</f>
        <v>9</v>
      </c>
      <c r="W2" s="11" t="str">
        <f>V2+1&amp;"-"&amp;X2</f>
        <v>10-10</v>
      </c>
      <c r="X2" s="11">
        <f>V2+X5</f>
        <v>10</v>
      </c>
      <c r="Z2" s="10">
        <f>L7</f>
        <v>12</v>
      </c>
      <c r="AA2" s="10" t="str">
        <f>Z2+1&amp;"-"&amp;AB2</f>
        <v>13-14</v>
      </c>
      <c r="AB2" s="10">
        <f>Z2+AB5</f>
        <v>14</v>
      </c>
      <c r="AD2" s="11">
        <f>AB2</f>
        <v>14</v>
      </c>
      <c r="AE2" s="11" t="str">
        <f>AD2+1&amp;"-"&amp;AF2</f>
        <v>15-16</v>
      </c>
      <c r="AF2" s="11">
        <f>AD2+AF5</f>
        <v>16</v>
      </c>
      <c r="AH2" s="10">
        <f>AF7</f>
        <v>18</v>
      </c>
      <c r="AI2" s="10" t="str">
        <f>AH2+1&amp;"-"&amp;AJ2</f>
        <v>19-19</v>
      </c>
      <c r="AJ2" s="10">
        <f>AH2+AJ5</f>
        <v>19</v>
      </c>
      <c r="AL2" s="11">
        <f>AJ2</f>
        <v>19</v>
      </c>
      <c r="AM2" s="11" t="str">
        <f>AL2+1&amp;"-"&amp;AN2</f>
        <v>20-22</v>
      </c>
      <c r="AN2" s="11">
        <f>AL2+AN5</f>
        <v>22</v>
      </c>
      <c r="AT2" s="10">
        <f>AR7</f>
        <v>23</v>
      </c>
      <c r="AU2" s="10" t="str">
        <f>AT2+1&amp;"-"&amp;AV2</f>
        <v>24-25,5</v>
      </c>
      <c r="AV2" s="10">
        <f>AT2+AV5</f>
        <v>25.5</v>
      </c>
    </row>
    <row r="3" spans="1:48" x14ac:dyDescent="0.25">
      <c r="B3" s="116" t="s">
        <v>1</v>
      </c>
      <c r="C3" s="116"/>
      <c r="D3" s="116"/>
      <c r="F3" s="116" t="s">
        <v>2</v>
      </c>
      <c r="G3" s="116"/>
      <c r="H3" s="116"/>
      <c r="J3" s="117" t="s">
        <v>4</v>
      </c>
      <c r="K3" s="117"/>
      <c r="L3" s="117"/>
      <c r="M3" s="12"/>
      <c r="N3" s="117" t="s">
        <v>7</v>
      </c>
      <c r="O3" s="117"/>
      <c r="P3" s="117"/>
      <c r="Q3" s="12"/>
      <c r="R3" s="117" t="s">
        <v>8</v>
      </c>
      <c r="S3" s="117"/>
      <c r="T3" s="117"/>
      <c r="U3" s="12"/>
      <c r="V3" s="117" t="s">
        <v>9</v>
      </c>
      <c r="W3" s="117"/>
      <c r="X3" s="117"/>
      <c r="Z3" s="116" t="s">
        <v>10</v>
      </c>
      <c r="AA3" s="116"/>
      <c r="AB3" s="116"/>
      <c r="AD3" s="117" t="s">
        <v>11</v>
      </c>
      <c r="AE3" s="117"/>
      <c r="AF3" s="117"/>
      <c r="AH3" s="116" t="s">
        <v>14</v>
      </c>
      <c r="AI3" s="116"/>
      <c r="AJ3" s="116"/>
      <c r="AL3" s="117" t="s">
        <v>15</v>
      </c>
      <c r="AM3" s="117"/>
      <c r="AN3" s="117"/>
      <c r="AT3" s="116" t="s">
        <v>18</v>
      </c>
      <c r="AU3" s="116"/>
      <c r="AV3" s="116"/>
    </row>
    <row r="4" spans="1:48" x14ac:dyDescent="0.25">
      <c r="B4" s="116"/>
      <c r="C4" s="116"/>
      <c r="D4" s="116"/>
      <c r="F4" s="116"/>
      <c r="G4" s="116"/>
      <c r="H4" s="116"/>
      <c r="J4" s="117"/>
      <c r="K4" s="117"/>
      <c r="L4" s="117"/>
      <c r="M4" s="12"/>
      <c r="N4" s="117"/>
      <c r="O4" s="117"/>
      <c r="P4" s="117"/>
      <c r="Q4" s="12"/>
      <c r="R4" s="117"/>
      <c r="S4" s="117"/>
      <c r="T4" s="117"/>
      <c r="U4" s="12"/>
      <c r="V4" s="117"/>
      <c r="W4" s="117"/>
      <c r="X4" s="117"/>
      <c r="Z4" s="116"/>
      <c r="AA4" s="116"/>
      <c r="AB4" s="116"/>
      <c r="AD4" s="117"/>
      <c r="AE4" s="117"/>
      <c r="AF4" s="117"/>
      <c r="AH4" s="116"/>
      <c r="AI4" s="116"/>
      <c r="AJ4" s="116"/>
      <c r="AL4" s="117"/>
      <c r="AM4" s="117"/>
      <c r="AN4" s="117"/>
      <c r="AT4" s="116"/>
      <c r="AU4" s="116"/>
      <c r="AV4" s="116"/>
    </row>
    <row r="5" spans="1:48" x14ac:dyDescent="0.25">
      <c r="B5" s="10">
        <v>1</v>
      </c>
      <c r="C5" s="10" t="str">
        <f>Custo!D3</f>
        <v>Nova</v>
      </c>
      <c r="D5" s="10">
        <v>2</v>
      </c>
      <c r="F5" s="10">
        <v>2</v>
      </c>
      <c r="G5" s="10" t="str">
        <f>Custo!D4</f>
        <v>Jean Gray</v>
      </c>
      <c r="H5" s="10">
        <v>1</v>
      </c>
      <c r="J5" s="11">
        <v>3</v>
      </c>
      <c r="K5" s="11" t="str">
        <f>Custo!D5</f>
        <v>Vespa</v>
      </c>
      <c r="L5" s="11">
        <v>1</v>
      </c>
      <c r="M5" s="12"/>
      <c r="N5" s="11">
        <v>5</v>
      </c>
      <c r="O5" s="11" t="str">
        <f>Custo!D7</f>
        <v>Hulkling</v>
      </c>
      <c r="P5" s="11">
        <v>2</v>
      </c>
      <c r="Q5" s="12"/>
      <c r="R5" s="11">
        <v>6</v>
      </c>
      <c r="S5" s="11" t="str">
        <f>Custo!D8</f>
        <v>Nova</v>
      </c>
      <c r="T5" s="11">
        <v>3</v>
      </c>
      <c r="U5" s="12"/>
      <c r="V5" s="11">
        <v>7</v>
      </c>
      <c r="W5" s="11" t="str">
        <f>Custo!D9</f>
        <v>Nova</v>
      </c>
      <c r="X5" s="11">
        <v>1</v>
      </c>
      <c r="Z5" s="10">
        <v>8</v>
      </c>
      <c r="AA5" s="10" t="str">
        <f>Custo!D10</f>
        <v>Wiccano</v>
      </c>
      <c r="AB5" s="10">
        <v>2</v>
      </c>
      <c r="AD5" s="11">
        <v>9</v>
      </c>
      <c r="AE5" s="11" t="str">
        <f>Custo!D11</f>
        <v>Hulkling</v>
      </c>
      <c r="AF5" s="11">
        <v>2</v>
      </c>
      <c r="AH5" s="10">
        <v>11</v>
      </c>
      <c r="AI5" s="10" t="str">
        <f>Custo!D13</f>
        <v>Nova</v>
      </c>
      <c r="AJ5" s="10">
        <v>1</v>
      </c>
      <c r="AL5" s="11">
        <v>12</v>
      </c>
      <c r="AM5" s="11" t="str">
        <f>Custo!D14</f>
        <v>Vespa</v>
      </c>
      <c r="AN5" s="11">
        <v>3</v>
      </c>
      <c r="AT5" s="10">
        <v>15</v>
      </c>
      <c r="AU5" s="10" t="str">
        <f>Custo!D17</f>
        <v>Aranha</v>
      </c>
      <c r="AV5" s="10">
        <v>2.5</v>
      </c>
    </row>
    <row r="7" spans="1:48" x14ac:dyDescent="0.25">
      <c r="J7" s="10">
        <f>H2</f>
        <v>3</v>
      </c>
      <c r="K7" s="10" t="str">
        <f>J7+1&amp;"-"&amp;L7</f>
        <v>4-12</v>
      </c>
      <c r="L7" s="10">
        <f>J7+L10</f>
        <v>12</v>
      </c>
      <c r="AD7" s="10">
        <f>AB2</f>
        <v>14</v>
      </c>
      <c r="AE7" s="10" t="str">
        <f>AD7+1&amp;"-"&amp;AF7</f>
        <v>15-18</v>
      </c>
      <c r="AF7" s="10">
        <f>AD7+AF10</f>
        <v>18</v>
      </c>
      <c r="AL7" s="10">
        <f>AJ2</f>
        <v>19</v>
      </c>
      <c r="AM7" s="10" t="str">
        <f>AL7+1&amp;"-"&amp;AN7</f>
        <v>20-20</v>
      </c>
      <c r="AN7" s="10">
        <f>AL7+AN10</f>
        <v>20</v>
      </c>
      <c r="AP7" s="10">
        <f>AN7</f>
        <v>20</v>
      </c>
      <c r="AQ7" s="10" t="str">
        <f>AP7+1&amp;"-"&amp;AR7</f>
        <v>21-23</v>
      </c>
      <c r="AR7" s="10">
        <f>AP7+AR10</f>
        <v>23</v>
      </c>
    </row>
    <row r="8" spans="1:48" x14ac:dyDescent="0.25">
      <c r="J8" s="116" t="s">
        <v>5</v>
      </c>
      <c r="K8" s="116"/>
      <c r="L8" s="116"/>
      <c r="AD8" s="116" t="s">
        <v>12</v>
      </c>
      <c r="AE8" s="116"/>
      <c r="AF8" s="116"/>
      <c r="AL8" s="116" t="s">
        <v>16</v>
      </c>
      <c r="AM8" s="116"/>
      <c r="AN8" s="116"/>
      <c r="AP8" s="116" t="s">
        <v>17</v>
      </c>
      <c r="AQ8" s="116"/>
      <c r="AR8" s="116"/>
    </row>
    <row r="9" spans="1:48" x14ac:dyDescent="0.25">
      <c r="J9" s="116"/>
      <c r="K9" s="116"/>
      <c r="L9" s="116"/>
      <c r="AD9" s="116"/>
      <c r="AE9" s="116"/>
      <c r="AF9" s="116"/>
      <c r="AL9" s="116"/>
      <c r="AM9" s="116"/>
      <c r="AN9" s="116"/>
      <c r="AP9" s="116"/>
      <c r="AQ9" s="116"/>
      <c r="AR9" s="116"/>
    </row>
    <row r="10" spans="1:48" x14ac:dyDescent="0.25">
      <c r="J10" s="10">
        <v>4</v>
      </c>
      <c r="K10" s="10" t="str">
        <f>Custo!J7</f>
        <v>Gaviã</v>
      </c>
      <c r="L10" s="10">
        <v>9</v>
      </c>
      <c r="AD10" s="10">
        <v>10</v>
      </c>
      <c r="AE10" s="10" t="str">
        <f>Custo!D12</f>
        <v>Jean Gray</v>
      </c>
      <c r="AF10" s="10">
        <v>4</v>
      </c>
      <c r="AL10" s="10">
        <v>13</v>
      </c>
      <c r="AM10" s="10" t="str">
        <f>Custo!D15</f>
        <v>Gaviã</v>
      </c>
      <c r="AN10" s="10">
        <v>1</v>
      </c>
      <c r="AP10" s="10">
        <v>14</v>
      </c>
      <c r="AQ10" s="10" t="str">
        <f>Custo!D16</f>
        <v>Pantera</v>
      </c>
      <c r="AR10" s="10">
        <v>3</v>
      </c>
    </row>
    <row r="12" spans="1:48" x14ac:dyDescent="0.25">
      <c r="C12" s="115" t="s">
        <v>58</v>
      </c>
      <c r="D12" s="115"/>
      <c r="E12" s="115"/>
      <c r="F12" s="115"/>
      <c r="G12" s="115"/>
      <c r="H12" s="115"/>
      <c r="I12" s="115"/>
      <c r="J12" s="115"/>
      <c r="K12" s="115"/>
      <c r="L12" s="115" t="s">
        <v>59</v>
      </c>
      <c r="M12" s="115"/>
      <c r="N12" s="115"/>
      <c r="O12" s="115"/>
      <c r="P12" s="115" t="s">
        <v>60</v>
      </c>
      <c r="Q12" s="115"/>
      <c r="R12" s="115"/>
      <c r="S12" s="115"/>
    </row>
    <row r="13" spans="1:48" x14ac:dyDescent="0.25">
      <c r="C13" s="165" t="s">
        <v>63</v>
      </c>
      <c r="D13" s="159" t="s">
        <v>62</v>
      </c>
      <c r="E13" s="159"/>
      <c r="F13" s="159"/>
      <c r="G13" s="159"/>
      <c r="H13" s="159"/>
      <c r="I13" s="159"/>
      <c r="J13" s="159"/>
      <c r="K13" s="159"/>
      <c r="L13" s="163">
        <f>COUNTA(B5,F5,J10,Z5,AD10,AH5,AL10,AP10,AT5)</f>
        <v>9</v>
      </c>
      <c r="M13" s="163"/>
      <c r="N13" s="163"/>
      <c r="O13" s="163"/>
      <c r="P13" s="164">
        <f>L13/AT5</f>
        <v>0.6</v>
      </c>
      <c r="Q13" s="164"/>
      <c r="R13" s="164"/>
      <c r="S13" s="164"/>
    </row>
    <row r="14" spans="1:48" x14ac:dyDescent="0.25">
      <c r="C14" s="166" t="s">
        <v>64</v>
      </c>
      <c r="D14" s="160" t="s">
        <v>61</v>
      </c>
      <c r="E14" s="160"/>
      <c r="F14" s="160"/>
      <c r="G14" s="160"/>
      <c r="H14" s="160"/>
      <c r="I14" s="160"/>
      <c r="J14" s="160"/>
      <c r="K14" s="160"/>
      <c r="L14" s="162">
        <f>COUNTA(J5,N5,R5,V5,AD5,AL5)</f>
        <v>6</v>
      </c>
      <c r="M14" s="162"/>
      <c r="N14" s="162"/>
      <c r="O14" s="162"/>
      <c r="P14" s="161">
        <f>L14/AT5</f>
        <v>0.4</v>
      </c>
      <c r="Q14" s="161"/>
      <c r="R14" s="161"/>
      <c r="S14" s="161"/>
    </row>
  </sheetData>
  <mergeCells count="24">
    <mergeCell ref="AL3:AN4"/>
    <mergeCell ref="AL8:AN9"/>
    <mergeCell ref="AP8:AR9"/>
    <mergeCell ref="AT3:AV4"/>
    <mergeCell ref="R3:T4"/>
    <mergeCell ref="V3:X4"/>
    <mergeCell ref="Z3:AB4"/>
    <mergeCell ref="AD3:AF4"/>
    <mergeCell ref="AD8:AF9"/>
    <mergeCell ref="AH3:AJ4"/>
    <mergeCell ref="B3:D4"/>
    <mergeCell ref="F3:H4"/>
    <mergeCell ref="J3:L4"/>
    <mergeCell ref="J8:L9"/>
    <mergeCell ref="N3:P4"/>
    <mergeCell ref="P13:S13"/>
    <mergeCell ref="P14:S14"/>
    <mergeCell ref="P12:S12"/>
    <mergeCell ref="D14:K14"/>
    <mergeCell ref="D13:K13"/>
    <mergeCell ref="C12:K12"/>
    <mergeCell ref="L12:O12"/>
    <mergeCell ref="L13:O13"/>
    <mergeCell ref="L14:O14"/>
  </mergeCells>
  <pageMargins left="0.25" right="0.25" top="0.75" bottom="0.75" header="0.3" footer="0.3"/>
  <pageSetup paperSize="8" pageOrder="overThenDown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C9F2-2D85-462B-82F2-59A352D5FAAC}">
  <dimension ref="A1:N24"/>
  <sheetViews>
    <sheetView tabSelected="1" workbookViewId="0">
      <selection activeCell="G23" sqref="G23"/>
    </sheetView>
  </sheetViews>
  <sheetFormatPr defaultRowHeight="15" x14ac:dyDescent="0.25"/>
  <cols>
    <col min="1" max="1" width="5" bestFit="1" customWidth="1"/>
    <col min="2" max="2" width="8.42578125" bestFit="1" customWidth="1"/>
    <col min="3" max="3" width="8.5703125" bestFit="1" customWidth="1"/>
    <col min="4" max="4" width="15.7109375" customWidth="1"/>
    <col min="5" max="5" width="14.7109375" customWidth="1"/>
    <col min="6" max="6" width="15.5703125" customWidth="1"/>
    <col min="7" max="7" width="14.85546875" customWidth="1"/>
    <col min="8" max="8" width="24.28515625" customWidth="1"/>
    <col min="9" max="9" width="11.7109375" customWidth="1"/>
    <col min="10" max="10" width="17" bestFit="1" customWidth="1"/>
    <col min="11" max="11" width="14.5703125" customWidth="1"/>
    <col min="12" max="12" width="9.42578125" bestFit="1" customWidth="1"/>
    <col min="13" max="13" width="9.7109375" customWidth="1"/>
    <col min="14" max="14" width="7.7109375" customWidth="1"/>
    <col min="15" max="15" width="9.42578125" customWidth="1"/>
  </cols>
  <sheetData>
    <row r="1" spans="1:14" ht="13.5" customHeight="1" x14ac:dyDescent="0.25">
      <c r="A1" s="3"/>
      <c r="B1" s="118"/>
      <c r="C1" s="118"/>
      <c r="D1" s="4"/>
      <c r="E1" s="4"/>
      <c r="F1" s="4"/>
      <c r="G1" s="4"/>
      <c r="H1" s="4"/>
    </row>
    <row r="2" spans="1:14" x14ac:dyDescent="0.25">
      <c r="A2" s="4"/>
      <c r="B2" s="5" t="s">
        <v>34</v>
      </c>
      <c r="C2" s="5" t="s">
        <v>35</v>
      </c>
      <c r="D2" s="5" t="s">
        <v>36</v>
      </c>
      <c r="E2" s="5" t="s">
        <v>37</v>
      </c>
      <c r="F2" s="9" t="s">
        <v>38</v>
      </c>
      <c r="G2" s="5" t="s">
        <v>39</v>
      </c>
      <c r="H2" s="5" t="s">
        <v>40</v>
      </c>
      <c r="J2" s="123" t="s">
        <v>20</v>
      </c>
      <c r="K2" s="123" t="s">
        <v>21</v>
      </c>
      <c r="L2" s="123" t="s">
        <v>22</v>
      </c>
      <c r="M2" s="155" t="s">
        <v>42</v>
      </c>
      <c r="N2" s="156"/>
    </row>
    <row r="3" spans="1:14" x14ac:dyDescent="0.25">
      <c r="A3" s="2"/>
      <c r="B3" s="6" t="s">
        <v>1</v>
      </c>
      <c r="C3" s="6">
        <v>2</v>
      </c>
      <c r="D3" s="34" t="str">
        <f>J4</f>
        <v>Nova</v>
      </c>
      <c r="E3" s="19">
        <f>M4</f>
        <v>40</v>
      </c>
      <c r="F3" s="19">
        <f>C3*E3*M17</f>
        <v>640</v>
      </c>
      <c r="G3" s="19">
        <v>100</v>
      </c>
      <c r="H3" s="19">
        <f>F3+G3</f>
        <v>740</v>
      </c>
      <c r="J3" s="123"/>
      <c r="K3" s="123"/>
      <c r="L3" s="123"/>
      <c r="M3" s="157"/>
      <c r="N3" s="158"/>
    </row>
    <row r="4" spans="1:14" x14ac:dyDescent="0.25">
      <c r="A4" s="2"/>
      <c r="B4" s="24" t="s">
        <v>2</v>
      </c>
      <c r="C4" s="24">
        <v>1</v>
      </c>
      <c r="D4" s="35" t="str">
        <f>J6</f>
        <v>Jean Gray</v>
      </c>
      <c r="E4" s="25">
        <f>M6</f>
        <v>50</v>
      </c>
      <c r="F4" s="25">
        <f>C4*E4*M17</f>
        <v>400</v>
      </c>
      <c r="G4" s="25">
        <v>0</v>
      </c>
      <c r="H4" s="25">
        <f t="shared" ref="H4:H17" si="0">F4+G4</f>
        <v>400</v>
      </c>
      <c r="J4" s="16" t="s">
        <v>0</v>
      </c>
      <c r="K4" s="22">
        <v>40</v>
      </c>
      <c r="L4" s="23" t="s">
        <v>29</v>
      </c>
      <c r="M4" s="119">
        <f>K4</f>
        <v>40</v>
      </c>
      <c r="N4" s="120"/>
    </row>
    <row r="5" spans="1:14" x14ac:dyDescent="0.25">
      <c r="A5" s="2"/>
      <c r="B5" s="31" t="s">
        <v>4</v>
      </c>
      <c r="C5" s="31">
        <v>1</v>
      </c>
      <c r="D5" s="36" t="str">
        <f>J5</f>
        <v>Vespa</v>
      </c>
      <c r="E5" s="27">
        <f>M5</f>
        <v>25</v>
      </c>
      <c r="F5" s="27">
        <f>C5*E5*M17</f>
        <v>200</v>
      </c>
      <c r="G5" s="27">
        <v>200</v>
      </c>
      <c r="H5" s="27">
        <f t="shared" si="0"/>
        <v>400</v>
      </c>
      <c r="J5" s="14" t="s">
        <v>23</v>
      </c>
      <c r="K5" s="20">
        <v>200</v>
      </c>
      <c r="L5" s="17" t="s">
        <v>30</v>
      </c>
      <c r="M5" s="121">
        <f>K5/M17</f>
        <v>25</v>
      </c>
      <c r="N5" s="122"/>
    </row>
    <row r="6" spans="1:14" x14ac:dyDescent="0.25">
      <c r="A6" s="2"/>
      <c r="B6" s="31" t="s">
        <v>5</v>
      </c>
      <c r="C6" s="31">
        <v>9</v>
      </c>
      <c r="D6" s="36" t="str">
        <f>J7</f>
        <v>Gaviã</v>
      </c>
      <c r="E6" s="27">
        <f>M7</f>
        <v>71.428571428571431</v>
      </c>
      <c r="F6" s="27">
        <f>C6*E6*M17</f>
        <v>5142.8571428571431</v>
      </c>
      <c r="G6" s="27">
        <v>50</v>
      </c>
      <c r="H6" s="27">
        <f t="shared" si="0"/>
        <v>5192.8571428571431</v>
      </c>
      <c r="J6" s="14" t="s">
        <v>3</v>
      </c>
      <c r="K6" s="20">
        <v>50</v>
      </c>
      <c r="L6" s="17" t="s">
        <v>29</v>
      </c>
      <c r="M6" s="121">
        <f>K6</f>
        <v>50</v>
      </c>
      <c r="N6" s="122"/>
    </row>
    <row r="7" spans="1:14" x14ac:dyDescent="0.25">
      <c r="A7" s="2"/>
      <c r="B7" s="31" t="s">
        <v>7</v>
      </c>
      <c r="C7" s="31">
        <v>2</v>
      </c>
      <c r="D7" s="36" t="str">
        <f>J9</f>
        <v>Hulkling</v>
      </c>
      <c r="E7" s="27">
        <f>M9</f>
        <v>53.571428571428569</v>
      </c>
      <c r="F7" s="27">
        <f>C7*E7*M17</f>
        <v>857.14285714285711</v>
      </c>
      <c r="G7" s="27">
        <v>0</v>
      </c>
      <c r="H7" s="27">
        <f t="shared" si="0"/>
        <v>857.14285714285711</v>
      </c>
      <c r="J7" s="14" t="s">
        <v>6</v>
      </c>
      <c r="K7" s="20">
        <v>4000</v>
      </c>
      <c r="L7" s="17" t="s">
        <v>31</v>
      </c>
      <c r="M7" s="121">
        <f>K7/7/M17</f>
        <v>71.428571428571431</v>
      </c>
      <c r="N7" s="122"/>
    </row>
    <row r="8" spans="1:14" x14ac:dyDescent="0.25">
      <c r="A8" s="2"/>
      <c r="B8" s="31" t="s">
        <v>8</v>
      </c>
      <c r="C8" s="31">
        <v>3</v>
      </c>
      <c r="D8" s="36" t="str">
        <f>J4</f>
        <v>Nova</v>
      </c>
      <c r="E8" s="27">
        <f>K4</f>
        <v>40</v>
      </c>
      <c r="F8" s="27">
        <f>C8*E8*M17</f>
        <v>960</v>
      </c>
      <c r="G8" s="27">
        <v>500</v>
      </c>
      <c r="H8" s="27">
        <f t="shared" si="0"/>
        <v>1460</v>
      </c>
      <c r="J8" s="14" t="s">
        <v>13</v>
      </c>
      <c r="K8" s="20">
        <v>21600</v>
      </c>
      <c r="L8" s="17" t="s">
        <v>32</v>
      </c>
      <c r="M8" s="153">
        <f>K8/30/M17</f>
        <v>90</v>
      </c>
      <c r="N8" s="154"/>
    </row>
    <row r="9" spans="1:14" x14ac:dyDescent="0.25">
      <c r="A9" s="2"/>
      <c r="B9" s="31" t="s">
        <v>9</v>
      </c>
      <c r="C9" s="31">
        <v>1</v>
      </c>
      <c r="D9" s="36" t="str">
        <f>J4</f>
        <v>Nova</v>
      </c>
      <c r="E9" s="27">
        <f>M4</f>
        <v>40</v>
      </c>
      <c r="F9" s="27">
        <f>C9*E9*M17</f>
        <v>320</v>
      </c>
      <c r="G9" s="27">
        <v>100</v>
      </c>
      <c r="H9" s="27">
        <f t="shared" si="0"/>
        <v>420</v>
      </c>
      <c r="J9" s="14" t="s">
        <v>24</v>
      </c>
      <c r="K9" s="20">
        <v>3000</v>
      </c>
      <c r="L9" s="17" t="s">
        <v>31</v>
      </c>
      <c r="M9" s="121">
        <f>K9/7/M17</f>
        <v>53.571428571428569</v>
      </c>
      <c r="N9" s="122"/>
    </row>
    <row r="10" spans="1:14" x14ac:dyDescent="0.25">
      <c r="A10" s="2"/>
      <c r="B10" s="31" t="s">
        <v>10</v>
      </c>
      <c r="C10" s="31">
        <v>2</v>
      </c>
      <c r="D10" s="36" t="str">
        <f>J8</f>
        <v>Wiccano</v>
      </c>
      <c r="E10" s="27">
        <f>M8</f>
        <v>90</v>
      </c>
      <c r="F10" s="27">
        <f>C10*E10*M17</f>
        <v>1440</v>
      </c>
      <c r="G10" s="27">
        <v>0</v>
      </c>
      <c r="H10" s="27">
        <f t="shared" si="0"/>
        <v>1440</v>
      </c>
      <c r="J10" s="14" t="s">
        <v>19</v>
      </c>
      <c r="K10" s="20">
        <v>640</v>
      </c>
      <c r="L10" s="17" t="s">
        <v>30</v>
      </c>
      <c r="M10" s="121">
        <f>K10/M17</f>
        <v>80</v>
      </c>
      <c r="N10" s="122"/>
    </row>
    <row r="11" spans="1:14" x14ac:dyDescent="0.25">
      <c r="A11" s="2"/>
      <c r="B11" s="31" t="s">
        <v>11</v>
      </c>
      <c r="C11" s="31">
        <v>2</v>
      </c>
      <c r="D11" s="36" t="str">
        <f>J9</f>
        <v>Hulkling</v>
      </c>
      <c r="E11" s="27">
        <f>M9</f>
        <v>53.571428571428569</v>
      </c>
      <c r="F11" s="27">
        <f>C11*E11*M17</f>
        <v>857.14285714285711</v>
      </c>
      <c r="G11" s="27">
        <v>100</v>
      </c>
      <c r="H11" s="27">
        <f t="shared" si="0"/>
        <v>957.14285714285711</v>
      </c>
      <c r="J11" s="14" t="s">
        <v>25</v>
      </c>
      <c r="K11" s="20">
        <v>1200</v>
      </c>
      <c r="L11" s="17" t="s">
        <v>30</v>
      </c>
      <c r="M11" s="121">
        <f>K11/M17</f>
        <v>150</v>
      </c>
      <c r="N11" s="122"/>
    </row>
    <row r="12" spans="1:14" x14ac:dyDescent="0.25">
      <c r="A12" s="2"/>
      <c r="B12" s="31" t="s">
        <v>12</v>
      </c>
      <c r="C12" s="31">
        <v>4</v>
      </c>
      <c r="D12" s="36" t="str">
        <f>J6</f>
        <v>Jean Gray</v>
      </c>
      <c r="E12" s="27">
        <f>M6</f>
        <v>50</v>
      </c>
      <c r="F12" s="27">
        <f>C12*E12*M17</f>
        <v>1600</v>
      </c>
      <c r="G12" s="27">
        <v>0</v>
      </c>
      <c r="H12" s="27">
        <f t="shared" si="0"/>
        <v>1600</v>
      </c>
      <c r="J12" s="14" t="s">
        <v>26</v>
      </c>
      <c r="K12" s="20">
        <v>14400</v>
      </c>
      <c r="L12" s="17" t="s">
        <v>32</v>
      </c>
      <c r="M12" s="153">
        <f>K12/30/M17</f>
        <v>60</v>
      </c>
      <c r="N12" s="154"/>
    </row>
    <row r="13" spans="1:14" x14ac:dyDescent="0.25">
      <c r="A13" s="2"/>
      <c r="B13" s="31" t="s">
        <v>14</v>
      </c>
      <c r="C13" s="31">
        <v>1</v>
      </c>
      <c r="D13" s="36" t="str">
        <f>J4</f>
        <v>Nova</v>
      </c>
      <c r="E13" s="27">
        <f>M4</f>
        <v>40</v>
      </c>
      <c r="F13" s="27">
        <f>C13*E13*M17</f>
        <v>320</v>
      </c>
      <c r="G13" s="27">
        <v>200</v>
      </c>
      <c r="H13" s="27">
        <f t="shared" si="0"/>
        <v>520</v>
      </c>
      <c r="J13" s="14" t="s">
        <v>27</v>
      </c>
      <c r="K13" s="20">
        <v>6000</v>
      </c>
      <c r="L13" s="17" t="s">
        <v>33</v>
      </c>
      <c r="M13" s="121">
        <f>K13/15/M17</f>
        <v>50</v>
      </c>
      <c r="N13" s="122"/>
    </row>
    <row r="14" spans="1:14" x14ac:dyDescent="0.25">
      <c r="A14" s="2"/>
      <c r="B14" s="31" t="s">
        <v>15</v>
      </c>
      <c r="C14" s="31">
        <v>3</v>
      </c>
      <c r="D14" s="36" t="str">
        <f>J5</f>
        <v>Vespa</v>
      </c>
      <c r="E14" s="27">
        <f>M5</f>
        <v>25</v>
      </c>
      <c r="F14" s="27">
        <f>C14*E14*M17</f>
        <v>600</v>
      </c>
      <c r="G14" s="27">
        <v>300</v>
      </c>
      <c r="H14" s="27">
        <f t="shared" si="0"/>
        <v>900</v>
      </c>
      <c r="J14" s="15" t="s">
        <v>28</v>
      </c>
      <c r="K14" s="21">
        <v>100</v>
      </c>
      <c r="L14" s="18" t="s">
        <v>29</v>
      </c>
      <c r="M14" s="125">
        <f>K14</f>
        <v>100</v>
      </c>
      <c r="N14" s="126"/>
    </row>
    <row r="15" spans="1:14" x14ac:dyDescent="0.25">
      <c r="A15" s="2"/>
      <c r="B15" s="31" t="s">
        <v>16</v>
      </c>
      <c r="C15" s="31">
        <v>1</v>
      </c>
      <c r="D15" s="36" t="str">
        <f>J7</f>
        <v>Gaviã</v>
      </c>
      <c r="E15" s="27">
        <f>M7</f>
        <v>71.428571428571431</v>
      </c>
      <c r="F15" s="27">
        <f>C15*E15*M17</f>
        <v>571.42857142857144</v>
      </c>
      <c r="G15" s="27">
        <v>0</v>
      </c>
      <c r="H15" s="27">
        <f t="shared" si="0"/>
        <v>571.42857142857144</v>
      </c>
    </row>
    <row r="16" spans="1:14" x14ac:dyDescent="0.25">
      <c r="A16" s="1"/>
      <c r="B16" s="32" t="s">
        <v>17</v>
      </c>
      <c r="C16" s="14">
        <v>3</v>
      </c>
      <c r="D16" s="37" t="str">
        <f>J13</f>
        <v>Pantera</v>
      </c>
      <c r="E16" s="29">
        <f>M13</f>
        <v>50</v>
      </c>
      <c r="F16" s="27">
        <f>C16*E16*M17</f>
        <v>1200</v>
      </c>
      <c r="G16" s="27">
        <v>100</v>
      </c>
      <c r="H16" s="27">
        <f t="shared" si="0"/>
        <v>1300</v>
      </c>
      <c r="J16" s="115" t="s">
        <v>41</v>
      </c>
      <c r="K16" s="115"/>
      <c r="L16" s="115"/>
      <c r="M16" s="115"/>
      <c r="N16" s="13"/>
    </row>
    <row r="17" spans="1:14" x14ac:dyDescent="0.25">
      <c r="A17" s="1"/>
      <c r="B17" s="33" t="s">
        <v>18</v>
      </c>
      <c r="C17" s="15">
        <v>2.5</v>
      </c>
      <c r="D17" s="38" t="str">
        <f>J10</f>
        <v>Aranha</v>
      </c>
      <c r="E17" s="30">
        <f>M10</f>
        <v>80</v>
      </c>
      <c r="F17" s="28">
        <f>C17*E17*M17</f>
        <v>1600</v>
      </c>
      <c r="G17" s="28">
        <v>1000</v>
      </c>
      <c r="H17" s="28">
        <f t="shared" si="0"/>
        <v>2600</v>
      </c>
      <c r="J17" s="124" t="s">
        <v>44</v>
      </c>
      <c r="K17" s="124"/>
      <c r="L17" s="124"/>
      <c r="M17" s="8">
        <v>8</v>
      </c>
      <c r="N17" s="7"/>
    </row>
    <row r="18" spans="1:14" x14ac:dyDescent="0.25">
      <c r="C18" s="39"/>
      <c r="D18" s="39"/>
      <c r="E18" s="39"/>
      <c r="J18" s="114" t="s">
        <v>57</v>
      </c>
      <c r="K18" s="114"/>
      <c r="L18" s="114"/>
      <c r="M18" s="41" cm="1">
        <f t="array" aca="1" ref="M18" ca="1">SUMPRODUCT(--(WEEKDAY(ROW(INDIRECT(Custo!E24&amp;":"&amp;Custo!E23)),2)&gt;5))</f>
        <v>10</v>
      </c>
    </row>
    <row r="19" spans="1:14" x14ac:dyDescent="0.25">
      <c r="B19" s="115" t="s">
        <v>49</v>
      </c>
      <c r="C19" s="115"/>
      <c r="D19" s="115"/>
      <c r="E19" s="115"/>
      <c r="F19" s="115"/>
    </row>
    <row r="20" spans="1:14" x14ac:dyDescent="0.25">
      <c r="B20" s="132" t="s">
        <v>43</v>
      </c>
      <c r="C20" s="132"/>
      <c r="D20" s="133"/>
      <c r="E20" s="131">
        <f>SUM(Custo!H3:H17)</f>
        <v>19358.571428571428</v>
      </c>
      <c r="F20" s="131"/>
    </row>
    <row r="21" spans="1:14" x14ac:dyDescent="0.25">
      <c r="B21" s="132" t="s">
        <v>45</v>
      </c>
      <c r="C21" s="132"/>
      <c r="D21" s="133"/>
      <c r="E21" s="130">
        <f>E24-E23+1</f>
        <v>36</v>
      </c>
      <c r="F21" s="130"/>
    </row>
    <row r="22" spans="1:14" x14ac:dyDescent="0.25">
      <c r="B22" s="132" t="s">
        <v>46</v>
      </c>
      <c r="C22" s="132"/>
      <c r="D22" s="133"/>
      <c r="E22" s="129">
        <f ca="1">E21-Custo!M18</f>
        <v>26</v>
      </c>
      <c r="F22" s="129"/>
    </row>
    <row r="23" spans="1:14" x14ac:dyDescent="0.25">
      <c r="B23" s="127" t="s">
        <v>48</v>
      </c>
      <c r="C23" s="127"/>
      <c r="D23" s="128"/>
      <c r="E23" s="40">
        <f>WORKDAY.INTL(E24,-'Diagrama de Rede'!AV2+0.5,1)</f>
        <v>45919</v>
      </c>
      <c r="F23" s="41" t="s">
        <v>56</v>
      </c>
    </row>
    <row r="24" spans="1:14" x14ac:dyDescent="0.25">
      <c r="B24" s="127" t="s">
        <v>47</v>
      </c>
      <c r="C24" s="127"/>
      <c r="D24" s="128"/>
      <c r="E24" s="40">
        <v>45954</v>
      </c>
      <c r="F24" s="41" t="s">
        <v>55</v>
      </c>
    </row>
  </sheetData>
  <mergeCells count="28">
    <mergeCell ref="M8:N8"/>
    <mergeCell ref="M2:N3"/>
    <mergeCell ref="B24:D24"/>
    <mergeCell ref="E22:F22"/>
    <mergeCell ref="E21:F21"/>
    <mergeCell ref="E20:F20"/>
    <mergeCell ref="B19:F19"/>
    <mergeCell ref="B22:D22"/>
    <mergeCell ref="B23:D23"/>
    <mergeCell ref="B20:D20"/>
    <mergeCell ref="B21:D21"/>
    <mergeCell ref="M9:N9"/>
    <mergeCell ref="J16:M16"/>
    <mergeCell ref="J17:L17"/>
    <mergeCell ref="J18:L18"/>
    <mergeCell ref="M11:N11"/>
    <mergeCell ref="M10:N10"/>
    <mergeCell ref="M13:N13"/>
    <mergeCell ref="M14:N14"/>
    <mergeCell ref="M12:N12"/>
    <mergeCell ref="B1:C1"/>
    <mergeCell ref="M4:N4"/>
    <mergeCell ref="M5:N5"/>
    <mergeCell ref="M6:N6"/>
    <mergeCell ref="M7:N7"/>
    <mergeCell ref="J2:J3"/>
    <mergeCell ref="K2:K3"/>
    <mergeCell ref="L2:L3"/>
  </mergeCells>
  <pageMargins left="0.511811024" right="0.511811024" top="0.78740157499999996" bottom="0.78740157499999996" header="0.31496062000000002" footer="0.31496062000000002"/>
  <pageSetup paperSize="8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1FFD-5245-4B1E-B60E-98B81A6D3F12}">
  <dimension ref="A1:BV22"/>
  <sheetViews>
    <sheetView workbookViewId="0">
      <pane xSplit="2" topLeftCell="AO1" activePane="topRight" state="frozen"/>
      <selection pane="topRight" activeCell="AU22" sqref="AU22"/>
    </sheetView>
  </sheetViews>
  <sheetFormatPr defaultColWidth="4.7109375" defaultRowHeight="15" x14ac:dyDescent="0.25"/>
  <cols>
    <col min="1" max="1" width="7" customWidth="1"/>
    <col min="2" max="2" width="16.28515625" customWidth="1"/>
    <col min="3" max="3" width="4.85546875" customWidth="1"/>
    <col min="4" max="4" width="5.140625" customWidth="1"/>
    <col min="5" max="5" width="4.7109375" customWidth="1"/>
    <col min="6" max="6" width="5.140625" customWidth="1"/>
    <col min="7" max="7" width="5" customWidth="1"/>
    <col min="8" max="8" width="4.42578125" customWidth="1"/>
    <col min="9" max="10" width="4.5703125" customWidth="1"/>
    <col min="11" max="11" width="4.42578125" customWidth="1"/>
    <col min="12" max="12" width="5.140625" customWidth="1"/>
    <col min="13" max="13" width="4.42578125" customWidth="1"/>
    <col min="14" max="14" width="4.5703125" customWidth="1"/>
    <col min="15" max="15" width="4.85546875" customWidth="1"/>
    <col min="16" max="17" width="4.42578125" customWidth="1"/>
    <col min="18" max="18" width="4.85546875" customWidth="1"/>
    <col min="19" max="19" width="4.42578125" customWidth="1"/>
    <col min="20" max="20" width="4.7109375" customWidth="1"/>
    <col min="39" max="40" width="4.5703125" customWidth="1"/>
  </cols>
  <sheetData>
    <row r="1" spans="1:74" ht="15.75" customHeight="1" thickBot="1" x14ac:dyDescent="0.3"/>
    <row r="2" spans="1:74" ht="15" customHeight="1" thickBot="1" x14ac:dyDescent="0.35">
      <c r="A2" s="145" t="s">
        <v>50</v>
      </c>
      <c r="B2" s="146"/>
      <c r="C2" s="136">
        <f>Custo!E23</f>
        <v>45919</v>
      </c>
      <c r="D2" s="137"/>
      <c r="E2" s="138">
        <f>C2+1</f>
        <v>45920</v>
      </c>
      <c r="F2" s="139"/>
      <c r="G2" s="136">
        <f t="shared" ref="G2" si="0">E2+1</f>
        <v>45921</v>
      </c>
      <c r="H2" s="137"/>
      <c r="I2" s="136">
        <f t="shared" ref="I2" si="1">G2+1</f>
        <v>45922</v>
      </c>
      <c r="J2" s="137"/>
      <c r="K2" s="138">
        <f t="shared" ref="K2" si="2">I2+1</f>
        <v>45923</v>
      </c>
      <c r="L2" s="137"/>
      <c r="M2" s="136">
        <f t="shared" ref="M2" si="3">K2+1</f>
        <v>45924</v>
      </c>
      <c r="N2" s="137"/>
      <c r="O2" s="136">
        <f t="shared" ref="O2" si="4">M2+1</f>
        <v>45925</v>
      </c>
      <c r="P2" s="137"/>
      <c r="Q2" s="136">
        <f t="shared" ref="Q2" si="5">O2+1</f>
        <v>45926</v>
      </c>
      <c r="R2" s="137"/>
      <c r="S2" s="136">
        <f t="shared" ref="S2" si="6">Q2+1</f>
        <v>45927</v>
      </c>
      <c r="T2" s="137"/>
      <c r="U2" s="136">
        <f t="shared" ref="U2" si="7">S2+1</f>
        <v>45928</v>
      </c>
      <c r="V2" s="137"/>
      <c r="W2" s="136">
        <f t="shared" ref="W2" si="8">U2+1</f>
        <v>45929</v>
      </c>
      <c r="X2" s="137"/>
      <c r="Y2" s="136">
        <f t="shared" ref="Y2" si="9">W2+1</f>
        <v>45930</v>
      </c>
      <c r="Z2" s="137"/>
      <c r="AA2" s="136">
        <f t="shared" ref="AA2" si="10">Y2+1</f>
        <v>45931</v>
      </c>
      <c r="AB2" s="137"/>
      <c r="AC2" s="136">
        <f t="shared" ref="AC2" si="11">AA2+1</f>
        <v>45932</v>
      </c>
      <c r="AD2" s="137"/>
      <c r="AE2" s="136">
        <f t="shared" ref="AE2" si="12">AC2+1</f>
        <v>45933</v>
      </c>
      <c r="AF2" s="137"/>
      <c r="AG2" s="136">
        <f t="shared" ref="AG2" si="13">AE2+1</f>
        <v>45934</v>
      </c>
      <c r="AH2" s="137"/>
      <c r="AI2" s="136">
        <f t="shared" ref="AI2" si="14">AG2+1</f>
        <v>45935</v>
      </c>
      <c r="AJ2" s="137"/>
      <c r="AK2" s="136">
        <f t="shared" ref="AK2" si="15">AI2+1</f>
        <v>45936</v>
      </c>
      <c r="AL2" s="137"/>
      <c r="AM2" s="136">
        <f t="shared" ref="AM2" si="16">AK2+1</f>
        <v>45937</v>
      </c>
      <c r="AN2" s="137"/>
      <c r="AO2" s="136">
        <f>AM2+1</f>
        <v>45938</v>
      </c>
      <c r="AP2" s="137"/>
      <c r="AQ2" s="136">
        <f t="shared" ref="AQ2" si="17">AO2+1</f>
        <v>45939</v>
      </c>
      <c r="AR2" s="137"/>
      <c r="AS2" s="136">
        <f t="shared" ref="AS2" si="18">AQ2+1</f>
        <v>45940</v>
      </c>
      <c r="AT2" s="137"/>
      <c r="AU2" s="136">
        <f t="shared" ref="AU2" si="19">AS2+1</f>
        <v>45941</v>
      </c>
      <c r="AV2" s="137"/>
      <c r="AW2" s="136">
        <f t="shared" ref="AW2" si="20">AU2+1</f>
        <v>45942</v>
      </c>
      <c r="AX2" s="137"/>
      <c r="AY2" s="136">
        <f t="shared" ref="AY2" si="21">AW2+1</f>
        <v>45943</v>
      </c>
      <c r="AZ2" s="137"/>
      <c r="BA2" s="136">
        <f>AY2+1</f>
        <v>45944</v>
      </c>
      <c r="BB2" s="137"/>
      <c r="BC2" s="136">
        <f t="shared" ref="BC2" si="22">BA2+1</f>
        <v>45945</v>
      </c>
      <c r="BD2" s="137"/>
      <c r="BE2" s="136">
        <f t="shared" ref="BE2" si="23">BC2+1</f>
        <v>45946</v>
      </c>
      <c r="BF2" s="137"/>
      <c r="BG2" s="136">
        <f>BE2+1</f>
        <v>45947</v>
      </c>
      <c r="BH2" s="137"/>
      <c r="BI2" s="138">
        <f t="shared" ref="BI2" si="24">BG2+1</f>
        <v>45948</v>
      </c>
      <c r="BJ2" s="137"/>
      <c r="BK2" s="136">
        <f t="shared" ref="BK2" si="25">BI2+1</f>
        <v>45949</v>
      </c>
      <c r="BL2" s="137"/>
      <c r="BM2" s="136">
        <f t="shared" ref="BM2" si="26">BK2+1</f>
        <v>45950</v>
      </c>
      <c r="BN2" s="137"/>
      <c r="BO2" s="136">
        <f t="shared" ref="BO2" si="27">BM2+1</f>
        <v>45951</v>
      </c>
      <c r="BP2" s="137"/>
      <c r="BQ2" s="136">
        <f>BO2+1</f>
        <v>45952</v>
      </c>
      <c r="BR2" s="137"/>
      <c r="BS2" s="136">
        <f t="shared" ref="BS2" si="28">BQ2+1</f>
        <v>45953</v>
      </c>
      <c r="BT2" s="137"/>
      <c r="BU2" s="140">
        <f>BS2+1</f>
        <v>45954</v>
      </c>
      <c r="BV2" s="141"/>
    </row>
    <row r="3" spans="1:74" ht="15" customHeight="1" x14ac:dyDescent="0.25">
      <c r="A3" s="134" t="s">
        <v>1</v>
      </c>
      <c r="B3" s="135"/>
      <c r="C3" s="70"/>
      <c r="D3" s="80"/>
      <c r="E3" s="108"/>
      <c r="F3" s="68"/>
      <c r="G3" s="108"/>
      <c r="H3" s="68"/>
      <c r="I3" s="71"/>
      <c r="J3" s="106"/>
      <c r="K3" s="107"/>
      <c r="L3" s="82"/>
      <c r="M3" s="67"/>
      <c r="N3" s="69"/>
      <c r="O3" s="67"/>
      <c r="P3" s="69"/>
      <c r="Q3" s="67"/>
      <c r="R3" s="69"/>
      <c r="S3" s="108"/>
      <c r="T3" s="68"/>
      <c r="U3" s="108"/>
      <c r="V3" s="68"/>
      <c r="W3" s="67"/>
      <c r="X3" s="48"/>
      <c r="Y3" s="67"/>
      <c r="Z3" s="69"/>
      <c r="AA3" s="67"/>
      <c r="AB3" s="69"/>
      <c r="AC3" s="67"/>
      <c r="AD3" s="69"/>
      <c r="AE3" s="67"/>
      <c r="AF3" s="69"/>
      <c r="AG3" s="108"/>
      <c r="AH3" s="68"/>
      <c r="AI3" s="108"/>
      <c r="AJ3" s="68"/>
      <c r="AK3" s="67"/>
      <c r="AL3" s="48"/>
      <c r="AM3" s="67"/>
      <c r="AN3" s="69"/>
      <c r="AO3" s="67"/>
      <c r="AP3" s="69"/>
      <c r="AQ3" s="67"/>
      <c r="AR3" s="69"/>
      <c r="AS3" s="67"/>
      <c r="AT3" s="69"/>
      <c r="AU3" s="108"/>
      <c r="AV3" s="68"/>
      <c r="AW3" s="108"/>
      <c r="AX3" s="68"/>
      <c r="AY3" s="67"/>
      <c r="AZ3" s="48"/>
      <c r="BA3" s="67"/>
      <c r="BB3" s="69"/>
      <c r="BC3" s="67"/>
      <c r="BD3" s="69"/>
      <c r="BE3" s="67"/>
      <c r="BF3" s="69"/>
      <c r="BG3" s="67"/>
      <c r="BH3" s="69"/>
      <c r="BI3" s="108"/>
      <c r="BJ3" s="68"/>
      <c r="BK3" s="108"/>
      <c r="BL3" s="68"/>
      <c r="BM3" s="67"/>
      <c r="BN3" s="48"/>
      <c r="BO3" s="67"/>
      <c r="BP3" s="69"/>
      <c r="BQ3" s="67"/>
      <c r="BR3" s="69"/>
      <c r="BS3" s="67"/>
      <c r="BT3" s="69"/>
      <c r="BU3" s="67"/>
      <c r="BV3" s="69"/>
    </row>
    <row r="4" spans="1:74" ht="15" customHeight="1" x14ac:dyDescent="0.25">
      <c r="A4" s="147" t="s">
        <v>2</v>
      </c>
      <c r="B4" s="148"/>
      <c r="C4" s="58"/>
      <c r="D4" s="81"/>
      <c r="E4" s="109"/>
      <c r="F4" s="53"/>
      <c r="G4" s="109"/>
      <c r="H4" s="53"/>
      <c r="I4" s="45"/>
      <c r="J4" s="69"/>
      <c r="K4" s="45"/>
      <c r="L4" s="77"/>
      <c r="M4" s="79"/>
      <c r="N4" s="44"/>
      <c r="O4" s="43"/>
      <c r="P4" s="44"/>
      <c r="Q4" s="43"/>
      <c r="R4" s="44"/>
      <c r="S4" s="109"/>
      <c r="T4" s="53"/>
      <c r="U4" s="109"/>
      <c r="V4" s="53"/>
      <c r="W4" s="43"/>
      <c r="X4" s="44"/>
      <c r="Y4" s="43"/>
      <c r="Z4" s="44"/>
      <c r="AA4" s="43"/>
      <c r="AB4" s="44"/>
      <c r="AC4" s="43"/>
      <c r="AD4" s="44"/>
      <c r="AE4" s="43"/>
      <c r="AF4" s="44"/>
      <c r="AG4" s="109"/>
      <c r="AH4" s="53"/>
      <c r="AI4" s="109"/>
      <c r="AJ4" s="53"/>
      <c r="AK4" s="43"/>
      <c r="AL4" s="44"/>
      <c r="AM4" s="43"/>
      <c r="AN4" s="44"/>
      <c r="AO4" s="43"/>
      <c r="AP4" s="44"/>
      <c r="AQ4" s="43"/>
      <c r="AR4" s="44"/>
      <c r="AS4" s="43"/>
      <c r="AT4" s="44"/>
      <c r="AU4" s="109"/>
      <c r="AV4" s="53"/>
      <c r="AW4" s="109"/>
      <c r="AX4" s="53"/>
      <c r="AY4" s="43"/>
      <c r="AZ4" s="44"/>
      <c r="BA4" s="43"/>
      <c r="BB4" s="44"/>
      <c r="BC4" s="43"/>
      <c r="BD4" s="44"/>
      <c r="BE4" s="43"/>
      <c r="BF4" s="44"/>
      <c r="BG4" s="43"/>
      <c r="BH4" s="44"/>
      <c r="BI4" s="109"/>
      <c r="BJ4" s="53"/>
      <c r="BK4" s="109"/>
      <c r="BL4" s="53"/>
      <c r="BM4" s="43"/>
      <c r="BN4" s="44"/>
      <c r="BO4" s="43"/>
      <c r="BP4" s="44"/>
      <c r="BQ4" s="43"/>
      <c r="BR4" s="44"/>
      <c r="BS4" s="43"/>
      <c r="BT4" s="44"/>
      <c r="BU4" s="43"/>
      <c r="BV4" s="44"/>
    </row>
    <row r="5" spans="1:74" ht="15" customHeight="1" x14ac:dyDescent="0.25">
      <c r="A5" s="149" t="s">
        <v>4</v>
      </c>
      <c r="B5" s="150"/>
      <c r="C5" s="58"/>
      <c r="D5" s="44"/>
      <c r="E5" s="109"/>
      <c r="F5" s="53"/>
      <c r="G5" s="109"/>
      <c r="H5" s="53"/>
      <c r="I5" s="43"/>
      <c r="J5" s="44"/>
      <c r="K5" s="58"/>
      <c r="L5" s="62"/>
      <c r="M5" s="43"/>
      <c r="N5" s="84"/>
      <c r="O5" s="85"/>
      <c r="P5" s="44"/>
      <c r="Q5" s="43"/>
      <c r="R5" s="44"/>
      <c r="S5" s="109"/>
      <c r="T5" s="53"/>
      <c r="U5" s="109"/>
      <c r="V5" s="53"/>
      <c r="W5" s="43"/>
      <c r="X5" s="44"/>
      <c r="Y5" s="43"/>
      <c r="Z5" s="44"/>
      <c r="AA5" s="43"/>
      <c r="AB5" s="44"/>
      <c r="AC5" s="43"/>
      <c r="AD5" s="44"/>
      <c r="AE5" s="43"/>
      <c r="AF5" s="44"/>
      <c r="AG5" s="109"/>
      <c r="AH5" s="53"/>
      <c r="AI5" s="109"/>
      <c r="AJ5" s="53"/>
      <c r="AK5" s="43"/>
      <c r="AL5" s="44"/>
      <c r="AM5" s="43"/>
      <c r="AN5" s="44"/>
      <c r="AO5" s="43"/>
      <c r="AP5" s="44"/>
      <c r="AQ5" s="43"/>
      <c r="AR5" s="44"/>
      <c r="AS5" s="43"/>
      <c r="AT5" s="44"/>
      <c r="AU5" s="109"/>
      <c r="AV5" s="53"/>
      <c r="AW5" s="109"/>
      <c r="AX5" s="53"/>
      <c r="AY5" s="43"/>
      <c r="AZ5" s="44"/>
      <c r="BA5" s="43"/>
      <c r="BB5" s="44"/>
      <c r="BC5" s="43"/>
      <c r="BD5" s="44"/>
      <c r="BE5" s="43"/>
      <c r="BF5" s="44"/>
      <c r="BG5" s="43"/>
      <c r="BH5" s="44"/>
      <c r="BI5" s="109"/>
      <c r="BJ5" s="53"/>
      <c r="BK5" s="109"/>
      <c r="BL5" s="53"/>
      <c r="BM5" s="43"/>
      <c r="BN5" s="44"/>
      <c r="BO5" s="43"/>
      <c r="BP5" s="44"/>
      <c r="BQ5" s="43"/>
      <c r="BR5" s="44"/>
      <c r="BS5" s="43"/>
      <c r="BT5" s="44"/>
      <c r="BU5" s="43"/>
      <c r="BV5" s="44"/>
    </row>
    <row r="6" spans="1:74" ht="15" customHeight="1" x14ac:dyDescent="0.25">
      <c r="A6" s="147" t="s">
        <v>5</v>
      </c>
      <c r="B6" s="148"/>
      <c r="C6" s="58"/>
      <c r="D6" s="44"/>
      <c r="E6" s="109"/>
      <c r="F6" s="53"/>
      <c r="G6" s="109"/>
      <c r="H6" s="53"/>
      <c r="I6" s="43"/>
      <c r="J6" s="44"/>
      <c r="K6" s="58"/>
      <c r="L6" s="62"/>
      <c r="M6" s="43"/>
      <c r="N6" s="77"/>
      <c r="O6" s="88"/>
      <c r="P6" s="88"/>
      <c r="Q6" s="88"/>
      <c r="R6" s="89"/>
      <c r="S6" s="109"/>
      <c r="T6" s="53"/>
      <c r="U6" s="109"/>
      <c r="V6" s="53"/>
      <c r="W6" s="90"/>
      <c r="X6" s="88"/>
      <c r="Y6" s="88"/>
      <c r="Z6" s="88"/>
      <c r="AA6" s="88"/>
      <c r="AB6" s="88"/>
      <c r="AC6" s="77"/>
      <c r="AD6" s="88"/>
      <c r="AE6" s="88"/>
      <c r="AF6" s="89"/>
      <c r="AG6" s="109"/>
      <c r="AH6" s="53"/>
      <c r="AI6" s="109"/>
      <c r="AJ6" s="53"/>
      <c r="AK6" s="90"/>
      <c r="AL6" s="88"/>
      <c r="AM6" s="79"/>
      <c r="AN6" s="44"/>
      <c r="AO6" s="43"/>
      <c r="AP6" s="44"/>
      <c r="AQ6" s="43"/>
      <c r="AR6" s="44"/>
      <c r="AS6" s="43"/>
      <c r="AT6" s="44"/>
      <c r="AU6" s="109"/>
      <c r="AV6" s="53"/>
      <c r="AW6" s="109"/>
      <c r="AX6" s="53"/>
      <c r="AY6" s="43"/>
      <c r="AZ6" s="44"/>
      <c r="BA6" s="43"/>
      <c r="BB6" s="44"/>
      <c r="BC6" s="43"/>
      <c r="BD6" s="44"/>
      <c r="BE6" s="43"/>
      <c r="BF6" s="44"/>
      <c r="BG6" s="43"/>
      <c r="BH6" s="44"/>
      <c r="BI6" s="109"/>
      <c r="BJ6" s="53"/>
      <c r="BK6" s="109"/>
      <c r="BL6" s="53"/>
      <c r="BM6" s="43"/>
      <c r="BN6" s="44"/>
      <c r="BO6" s="43"/>
      <c r="BP6" s="44"/>
      <c r="BQ6" s="43"/>
      <c r="BR6" s="44"/>
      <c r="BS6" s="43"/>
      <c r="BT6" s="44"/>
      <c r="BU6" s="43"/>
      <c r="BV6" s="44"/>
    </row>
    <row r="7" spans="1:74" ht="15" customHeight="1" x14ac:dyDescent="0.25">
      <c r="A7" s="149" t="s">
        <v>7</v>
      </c>
      <c r="B7" s="150"/>
      <c r="C7" s="58"/>
      <c r="D7" s="44"/>
      <c r="E7" s="109"/>
      <c r="F7" s="53"/>
      <c r="G7" s="109"/>
      <c r="H7" s="53"/>
      <c r="I7" s="43"/>
      <c r="J7" s="44"/>
      <c r="K7" s="58"/>
      <c r="L7" s="62"/>
      <c r="M7" s="43"/>
      <c r="N7" s="44"/>
      <c r="O7" s="43"/>
      <c r="P7" s="84"/>
      <c r="Q7" s="86"/>
      <c r="R7" s="87"/>
      <c r="S7" s="109"/>
      <c r="T7" s="53"/>
      <c r="U7" s="109"/>
      <c r="V7" s="53"/>
      <c r="W7" s="83"/>
      <c r="X7" s="44"/>
      <c r="Y7" s="43"/>
      <c r="Z7" s="44"/>
      <c r="AA7" s="43"/>
      <c r="AB7" s="44"/>
      <c r="AC7" s="43"/>
      <c r="AD7" s="44"/>
      <c r="AE7" s="43"/>
      <c r="AF7" s="44"/>
      <c r="AG7" s="109"/>
      <c r="AH7" s="53"/>
      <c r="AI7" s="109"/>
      <c r="AJ7" s="53"/>
      <c r="AK7" s="43"/>
      <c r="AL7" s="44"/>
      <c r="AM7" s="43"/>
      <c r="AN7" s="44"/>
      <c r="AO7" s="43"/>
      <c r="AP7" s="44"/>
      <c r="AQ7" s="43"/>
      <c r="AR7" s="44"/>
      <c r="AS7" s="43"/>
      <c r="AT7" s="44"/>
      <c r="AU7" s="109"/>
      <c r="AV7" s="53"/>
      <c r="AW7" s="109"/>
      <c r="AX7" s="53"/>
      <c r="AY7" s="43"/>
      <c r="AZ7" s="44"/>
      <c r="BA7" s="43"/>
      <c r="BB7" s="44"/>
      <c r="BC7" s="43"/>
      <c r="BD7" s="44"/>
      <c r="BE7" s="43"/>
      <c r="BF7" s="44"/>
      <c r="BG7" s="43"/>
      <c r="BH7" s="44"/>
      <c r="BI7" s="109"/>
      <c r="BJ7" s="53"/>
      <c r="BK7" s="109"/>
      <c r="BL7" s="53"/>
      <c r="BM7" s="43"/>
      <c r="BN7" s="44"/>
      <c r="BO7" s="43"/>
      <c r="BP7" s="44"/>
      <c r="BQ7" s="43"/>
      <c r="BR7" s="44"/>
      <c r="BS7" s="43"/>
      <c r="BT7" s="44"/>
      <c r="BU7" s="43"/>
      <c r="BV7" s="44"/>
    </row>
    <row r="8" spans="1:74" ht="15" customHeight="1" x14ac:dyDescent="0.25">
      <c r="A8" s="149" t="s">
        <v>8</v>
      </c>
      <c r="B8" s="150"/>
      <c r="C8" s="58"/>
      <c r="D8" s="44"/>
      <c r="E8" s="109"/>
      <c r="F8" s="53"/>
      <c r="G8" s="109"/>
      <c r="H8" s="53"/>
      <c r="I8" s="43"/>
      <c r="J8" s="44"/>
      <c r="K8" s="58"/>
      <c r="L8" s="62"/>
      <c r="M8" s="43"/>
      <c r="N8" s="44"/>
      <c r="O8" s="43"/>
      <c r="P8" s="44"/>
      <c r="Q8" s="43"/>
      <c r="R8" s="44"/>
      <c r="S8" s="109"/>
      <c r="T8" s="53"/>
      <c r="U8" s="109"/>
      <c r="V8" s="53"/>
      <c r="W8" s="43"/>
      <c r="X8" s="84"/>
      <c r="Y8" s="86"/>
      <c r="Z8" s="86"/>
      <c r="AA8" s="86"/>
      <c r="AB8" s="86"/>
      <c r="AC8" s="85"/>
      <c r="AD8" s="44"/>
      <c r="AE8" s="43"/>
      <c r="AF8" s="44"/>
      <c r="AG8" s="109"/>
      <c r="AH8" s="53"/>
      <c r="AI8" s="109"/>
      <c r="AJ8" s="53"/>
      <c r="AK8" s="43"/>
      <c r="AL8" s="44"/>
      <c r="AM8" s="43"/>
      <c r="AN8" s="44"/>
      <c r="AO8" s="43"/>
      <c r="AP8" s="44"/>
      <c r="AQ8" s="43"/>
      <c r="AR8" s="44"/>
      <c r="AS8" s="43"/>
      <c r="AT8" s="44"/>
      <c r="AU8" s="109"/>
      <c r="AV8" s="53"/>
      <c r="AW8" s="109"/>
      <c r="AX8" s="53"/>
      <c r="AY8" s="43"/>
      <c r="AZ8" s="44"/>
      <c r="BA8" s="43"/>
      <c r="BB8" s="44"/>
      <c r="BC8" s="43"/>
      <c r="BD8" s="44"/>
      <c r="BE8" s="43"/>
      <c r="BF8" s="44"/>
      <c r="BG8" s="43"/>
      <c r="BH8" s="44"/>
      <c r="BI8" s="109"/>
      <c r="BJ8" s="53"/>
      <c r="BK8" s="109"/>
      <c r="BL8" s="53"/>
      <c r="BM8" s="43"/>
      <c r="BN8" s="44"/>
      <c r="BO8" s="43"/>
      <c r="BP8" s="44"/>
      <c r="BQ8" s="43"/>
      <c r="BR8" s="44"/>
      <c r="BS8" s="43"/>
      <c r="BT8" s="44"/>
      <c r="BU8" s="43"/>
      <c r="BV8" s="44"/>
    </row>
    <row r="9" spans="1:74" ht="15" customHeight="1" x14ac:dyDescent="0.25">
      <c r="A9" s="149" t="s">
        <v>9</v>
      </c>
      <c r="B9" s="150"/>
      <c r="C9" s="58"/>
      <c r="D9" s="44"/>
      <c r="E9" s="109"/>
      <c r="F9" s="53"/>
      <c r="G9" s="109"/>
      <c r="H9" s="53"/>
      <c r="I9" s="43"/>
      <c r="J9" s="44"/>
      <c r="K9" s="58"/>
      <c r="L9" s="62"/>
      <c r="M9" s="43"/>
      <c r="N9" s="44"/>
      <c r="O9" s="43"/>
      <c r="P9" s="44"/>
      <c r="Q9" s="43"/>
      <c r="R9" s="44"/>
      <c r="S9" s="109"/>
      <c r="T9" s="53"/>
      <c r="U9" s="109"/>
      <c r="V9" s="53"/>
      <c r="W9" s="43"/>
      <c r="X9" s="44"/>
      <c r="Y9" s="43"/>
      <c r="Z9" s="44"/>
      <c r="AA9" s="43"/>
      <c r="AB9" s="44"/>
      <c r="AC9" s="43"/>
      <c r="AD9" s="84"/>
      <c r="AE9" s="85"/>
      <c r="AF9" s="44"/>
      <c r="AG9" s="109"/>
      <c r="AH9" s="53"/>
      <c r="AI9" s="109"/>
      <c r="AJ9" s="53"/>
      <c r="AK9" s="43"/>
      <c r="AL9" s="44"/>
      <c r="AM9" s="43"/>
      <c r="AN9" s="44"/>
      <c r="AO9" s="43"/>
      <c r="AP9" s="44"/>
      <c r="AQ9" s="43"/>
      <c r="AR9" s="44"/>
      <c r="AS9" s="43"/>
      <c r="AT9" s="44"/>
      <c r="AU9" s="109"/>
      <c r="AV9" s="53"/>
      <c r="AW9" s="109"/>
      <c r="AX9" s="53"/>
      <c r="AY9" s="43"/>
      <c r="AZ9" s="44"/>
      <c r="BA9" s="43"/>
      <c r="BB9" s="44"/>
      <c r="BC9" s="43"/>
      <c r="BD9" s="44"/>
      <c r="BE9" s="43"/>
      <c r="BF9" s="44"/>
      <c r="BG9" s="43"/>
      <c r="BH9" s="44"/>
      <c r="BI9" s="109"/>
      <c r="BJ9" s="53"/>
      <c r="BK9" s="109"/>
      <c r="BL9" s="53"/>
      <c r="BM9" s="43"/>
      <c r="BN9" s="44"/>
      <c r="BO9" s="43"/>
      <c r="BP9" s="44"/>
      <c r="BQ9" s="43"/>
      <c r="BR9" s="44"/>
      <c r="BS9" s="43"/>
      <c r="BT9" s="44"/>
      <c r="BU9" s="43"/>
      <c r="BV9" s="44"/>
    </row>
    <row r="10" spans="1:74" ht="15" customHeight="1" x14ac:dyDescent="0.25">
      <c r="A10" s="147" t="s">
        <v>10</v>
      </c>
      <c r="B10" s="148"/>
      <c r="C10" s="59"/>
      <c r="D10" s="46"/>
      <c r="E10" s="110"/>
      <c r="F10" s="54"/>
      <c r="G10" s="110"/>
      <c r="H10" s="54"/>
      <c r="I10" s="45"/>
      <c r="J10" s="46"/>
      <c r="K10" s="59"/>
      <c r="L10" s="63"/>
      <c r="M10" s="45"/>
      <c r="N10" s="46"/>
      <c r="O10" s="45"/>
      <c r="P10" s="46"/>
      <c r="Q10" s="45"/>
      <c r="R10" s="46"/>
      <c r="S10" s="110"/>
      <c r="T10" s="54"/>
      <c r="U10" s="110"/>
      <c r="V10" s="54"/>
      <c r="W10" s="45"/>
      <c r="X10" s="46"/>
      <c r="Y10" s="45"/>
      <c r="Z10" s="46"/>
      <c r="AA10" s="45"/>
      <c r="AB10" s="46"/>
      <c r="AC10" s="45"/>
      <c r="AD10" s="46"/>
      <c r="AE10" s="45"/>
      <c r="AF10" s="46"/>
      <c r="AG10" s="110"/>
      <c r="AH10" s="54"/>
      <c r="AI10" s="110"/>
      <c r="AJ10" s="54"/>
      <c r="AK10" s="45"/>
      <c r="AL10" s="46"/>
      <c r="AM10" s="45"/>
      <c r="AN10" s="88"/>
      <c r="AO10" s="88"/>
      <c r="AP10" s="88"/>
      <c r="AQ10" s="79"/>
      <c r="AR10" s="46"/>
      <c r="AS10" s="45"/>
      <c r="AT10" s="46"/>
      <c r="AU10" s="110"/>
      <c r="AV10" s="54"/>
      <c r="AW10" s="110"/>
      <c r="AX10" s="54"/>
      <c r="AY10" s="45"/>
      <c r="AZ10" s="46"/>
      <c r="BA10" s="45"/>
      <c r="BB10" s="46"/>
      <c r="BC10" s="45"/>
      <c r="BD10" s="46"/>
      <c r="BE10" s="45"/>
      <c r="BF10" s="46"/>
      <c r="BG10" s="45"/>
      <c r="BH10" s="46"/>
      <c r="BI10" s="110"/>
      <c r="BJ10" s="54"/>
      <c r="BK10" s="110"/>
      <c r="BL10" s="54"/>
      <c r="BM10" s="45"/>
      <c r="BN10" s="46"/>
      <c r="BO10" s="45"/>
      <c r="BP10" s="46"/>
      <c r="BQ10" s="45"/>
      <c r="BR10" s="46"/>
      <c r="BS10" s="45"/>
      <c r="BT10" s="46"/>
      <c r="BU10" s="45"/>
      <c r="BV10" s="46"/>
    </row>
    <row r="11" spans="1:74" ht="15" customHeight="1" x14ac:dyDescent="0.25">
      <c r="A11" s="149" t="s">
        <v>11</v>
      </c>
      <c r="B11" s="150"/>
      <c r="C11" s="60"/>
      <c r="D11" s="48"/>
      <c r="E11" s="111"/>
      <c r="F11" s="55"/>
      <c r="G11" s="111"/>
      <c r="H11" s="55"/>
      <c r="I11" s="47"/>
      <c r="J11" s="48"/>
      <c r="K11" s="60"/>
      <c r="L11" s="64"/>
      <c r="M11" s="47"/>
      <c r="N11" s="48"/>
      <c r="O11" s="47"/>
      <c r="P11" s="48"/>
      <c r="Q11" s="47"/>
      <c r="R11" s="48"/>
      <c r="S11" s="111"/>
      <c r="T11" s="55"/>
      <c r="U11" s="111"/>
      <c r="V11" s="55"/>
      <c r="W11" s="47"/>
      <c r="X11" s="48"/>
      <c r="Y11" s="47"/>
      <c r="Z11" s="48"/>
      <c r="AA11" s="47"/>
      <c r="AB11" s="48"/>
      <c r="AC11" s="47"/>
      <c r="AD11" s="48"/>
      <c r="AE11" s="47"/>
      <c r="AF11" s="48"/>
      <c r="AG11" s="111"/>
      <c r="AH11" s="55"/>
      <c r="AI11" s="111"/>
      <c r="AJ11" s="55"/>
      <c r="AK11" s="47"/>
      <c r="AL11" s="48"/>
      <c r="AM11" s="47"/>
      <c r="AN11" s="48"/>
      <c r="AO11" s="47"/>
      <c r="AP11" s="48"/>
      <c r="AQ11" s="47"/>
      <c r="AR11" s="92"/>
      <c r="AS11" s="94"/>
      <c r="AT11" s="95"/>
      <c r="AU11" s="111"/>
      <c r="AV11" s="55"/>
      <c r="AW11" s="111"/>
      <c r="AX11" s="55"/>
      <c r="AY11" s="91"/>
      <c r="AZ11" s="48"/>
      <c r="BA11" s="47"/>
      <c r="BB11" s="48"/>
      <c r="BC11" s="47"/>
      <c r="BD11" s="48"/>
      <c r="BE11" s="47"/>
      <c r="BF11" s="48"/>
      <c r="BG11" s="47"/>
      <c r="BH11" s="48"/>
      <c r="BI11" s="111"/>
      <c r="BJ11" s="55"/>
      <c r="BK11" s="111"/>
      <c r="BL11" s="55"/>
      <c r="BM11" s="47"/>
      <c r="BN11" s="48"/>
      <c r="BO11" s="47"/>
      <c r="BP11" s="48"/>
      <c r="BQ11" s="47"/>
      <c r="BR11" s="48"/>
      <c r="BS11" s="47"/>
      <c r="BT11" s="48"/>
      <c r="BU11" s="47"/>
      <c r="BV11" s="48"/>
    </row>
    <row r="12" spans="1:74" ht="15" customHeight="1" x14ac:dyDescent="0.25">
      <c r="A12" s="147" t="s">
        <v>12</v>
      </c>
      <c r="B12" s="148"/>
      <c r="C12" s="60"/>
      <c r="D12" s="48"/>
      <c r="E12" s="111"/>
      <c r="F12" s="55"/>
      <c r="G12" s="111"/>
      <c r="H12" s="55"/>
      <c r="I12" s="47"/>
      <c r="J12" s="48"/>
      <c r="K12" s="60"/>
      <c r="L12" s="64"/>
      <c r="M12" s="47"/>
      <c r="N12" s="48"/>
      <c r="O12" s="47"/>
      <c r="P12" s="48"/>
      <c r="Q12" s="47"/>
      <c r="R12" s="48"/>
      <c r="S12" s="111"/>
      <c r="T12" s="55"/>
      <c r="U12" s="111"/>
      <c r="V12" s="55"/>
      <c r="W12" s="47"/>
      <c r="X12" s="48"/>
      <c r="Y12" s="47"/>
      <c r="Z12" s="48"/>
      <c r="AA12" s="47"/>
      <c r="AB12" s="48"/>
      <c r="AC12" s="47"/>
      <c r="AD12" s="48"/>
      <c r="AE12" s="47"/>
      <c r="AF12" s="48"/>
      <c r="AG12" s="111"/>
      <c r="AH12" s="55"/>
      <c r="AI12" s="111"/>
      <c r="AJ12" s="55"/>
      <c r="AK12" s="47"/>
      <c r="AL12" s="48"/>
      <c r="AM12" s="47"/>
      <c r="AN12" s="48"/>
      <c r="AO12" s="47"/>
      <c r="AP12" s="48"/>
      <c r="AQ12" s="47"/>
      <c r="AR12" s="96"/>
      <c r="AS12" s="88"/>
      <c r="AT12" s="89"/>
      <c r="AU12" s="111"/>
      <c r="AV12" s="55"/>
      <c r="AW12" s="111"/>
      <c r="AX12" s="55"/>
      <c r="AY12" s="97"/>
      <c r="AZ12" s="88"/>
      <c r="BA12" s="88"/>
      <c r="BB12" s="88"/>
      <c r="BC12" s="79"/>
      <c r="BD12" s="48"/>
      <c r="BE12" s="47"/>
      <c r="BF12" s="48"/>
      <c r="BG12" s="47"/>
      <c r="BH12" s="48"/>
      <c r="BI12" s="111"/>
      <c r="BJ12" s="55"/>
      <c r="BK12" s="111"/>
      <c r="BL12" s="55"/>
      <c r="BM12" s="47"/>
      <c r="BN12" s="48"/>
      <c r="BO12" s="47"/>
      <c r="BP12" s="48"/>
      <c r="BQ12" s="47"/>
      <c r="BR12" s="48"/>
      <c r="BS12" s="47"/>
      <c r="BT12" s="48"/>
      <c r="BU12" s="47"/>
      <c r="BV12" s="48"/>
    </row>
    <row r="13" spans="1:74" ht="15" customHeight="1" x14ac:dyDescent="0.25">
      <c r="A13" s="147" t="s">
        <v>14</v>
      </c>
      <c r="B13" s="148"/>
      <c r="C13" s="60"/>
      <c r="D13" s="48"/>
      <c r="E13" s="111"/>
      <c r="F13" s="55"/>
      <c r="G13" s="111"/>
      <c r="H13" s="55"/>
      <c r="I13" s="47"/>
      <c r="J13" s="48"/>
      <c r="K13" s="60"/>
      <c r="L13" s="64"/>
      <c r="M13" s="47"/>
      <c r="N13" s="48"/>
      <c r="O13" s="47"/>
      <c r="P13" s="48"/>
      <c r="Q13" s="47"/>
      <c r="R13" s="48"/>
      <c r="S13" s="111"/>
      <c r="T13" s="55"/>
      <c r="U13" s="111"/>
      <c r="V13" s="55"/>
      <c r="W13" s="47"/>
      <c r="X13" s="48"/>
      <c r="Y13" s="47"/>
      <c r="Z13" s="48"/>
      <c r="AA13" s="47"/>
      <c r="AB13" s="48"/>
      <c r="AC13" s="47"/>
      <c r="AD13" s="48"/>
      <c r="AE13" s="47"/>
      <c r="AF13" s="48"/>
      <c r="AG13" s="111"/>
      <c r="AH13" s="55"/>
      <c r="AI13" s="111"/>
      <c r="AJ13" s="55"/>
      <c r="AK13" s="47"/>
      <c r="AL13" s="48"/>
      <c r="AM13" s="47"/>
      <c r="AN13" s="48"/>
      <c r="AO13" s="47"/>
      <c r="AP13" s="48"/>
      <c r="AQ13" s="47"/>
      <c r="AR13" s="48"/>
      <c r="AS13" s="47"/>
      <c r="AT13" s="48"/>
      <c r="AU13" s="111"/>
      <c r="AV13" s="55"/>
      <c r="AW13" s="111"/>
      <c r="AX13" s="55"/>
      <c r="AY13" s="47"/>
      <c r="AZ13" s="48"/>
      <c r="BA13" s="47"/>
      <c r="BB13" s="48"/>
      <c r="BC13" s="47"/>
      <c r="BD13" s="96"/>
      <c r="BE13" s="79"/>
      <c r="BF13" s="48"/>
      <c r="BG13" s="47"/>
      <c r="BH13" s="48"/>
      <c r="BI13" s="111"/>
      <c r="BJ13" s="55"/>
      <c r="BK13" s="111"/>
      <c r="BL13" s="55"/>
      <c r="BM13" s="47"/>
      <c r="BN13" s="48"/>
      <c r="BO13" s="47"/>
      <c r="BP13" s="48"/>
      <c r="BQ13" s="47"/>
      <c r="BR13" s="48"/>
      <c r="BS13" s="47"/>
      <c r="BT13" s="48"/>
      <c r="BU13" s="47"/>
      <c r="BV13" s="48"/>
    </row>
    <row r="14" spans="1:74" ht="15" customHeight="1" x14ac:dyDescent="0.25">
      <c r="A14" s="149" t="s">
        <v>15</v>
      </c>
      <c r="B14" s="150"/>
      <c r="C14" s="60"/>
      <c r="D14" s="48"/>
      <c r="E14" s="111"/>
      <c r="F14" s="55"/>
      <c r="G14" s="111"/>
      <c r="H14" s="55"/>
      <c r="I14" s="47"/>
      <c r="J14" s="48"/>
      <c r="K14" s="60"/>
      <c r="L14" s="64"/>
      <c r="M14" s="47"/>
      <c r="N14" s="48"/>
      <c r="O14" s="47"/>
      <c r="P14" s="48"/>
      <c r="Q14" s="47"/>
      <c r="R14" s="48"/>
      <c r="S14" s="111"/>
      <c r="T14" s="55"/>
      <c r="U14" s="111"/>
      <c r="V14" s="55"/>
      <c r="W14" s="47"/>
      <c r="X14" s="48"/>
      <c r="Y14" s="47"/>
      <c r="Z14" s="48"/>
      <c r="AA14" s="47"/>
      <c r="AB14" s="48"/>
      <c r="AC14" s="47"/>
      <c r="AD14" s="48"/>
      <c r="AE14" s="47"/>
      <c r="AF14" s="48"/>
      <c r="AG14" s="111"/>
      <c r="AH14" s="55"/>
      <c r="AI14" s="111"/>
      <c r="AJ14" s="55"/>
      <c r="AK14" s="47"/>
      <c r="AL14" s="48"/>
      <c r="AM14" s="47"/>
      <c r="AN14" s="48"/>
      <c r="AO14" s="47"/>
      <c r="AP14" s="48"/>
      <c r="AQ14" s="47"/>
      <c r="AR14" s="48"/>
      <c r="AS14" s="47"/>
      <c r="AT14" s="48"/>
      <c r="AU14" s="111"/>
      <c r="AV14" s="55"/>
      <c r="AW14" s="111"/>
      <c r="AX14" s="55"/>
      <c r="AY14" s="47"/>
      <c r="AZ14" s="48"/>
      <c r="BA14" s="47"/>
      <c r="BB14" s="48"/>
      <c r="BC14" s="47"/>
      <c r="BD14" s="48"/>
      <c r="BE14" s="47"/>
      <c r="BF14" s="92"/>
      <c r="BG14" s="94"/>
      <c r="BH14" s="95"/>
      <c r="BI14" s="111"/>
      <c r="BJ14" s="55"/>
      <c r="BK14" s="111"/>
      <c r="BL14" s="55"/>
      <c r="BM14" s="98"/>
      <c r="BN14" s="94"/>
      <c r="BO14" s="93"/>
      <c r="BP14" s="48"/>
      <c r="BQ14" s="47"/>
      <c r="BR14" s="48"/>
      <c r="BS14" s="47"/>
      <c r="BT14" s="48"/>
      <c r="BU14" s="47"/>
      <c r="BV14" s="48"/>
    </row>
    <row r="15" spans="1:74" ht="15" customHeight="1" x14ac:dyDescent="0.25">
      <c r="A15" s="147" t="s">
        <v>16</v>
      </c>
      <c r="B15" s="148"/>
      <c r="C15" s="60"/>
      <c r="D15" s="48"/>
      <c r="E15" s="111"/>
      <c r="F15" s="55"/>
      <c r="G15" s="111"/>
      <c r="H15" s="55"/>
      <c r="I15" s="47"/>
      <c r="J15" s="48"/>
      <c r="K15" s="60"/>
      <c r="L15" s="64"/>
      <c r="M15" s="47"/>
      <c r="N15" s="48"/>
      <c r="O15" s="47"/>
      <c r="P15" s="48"/>
      <c r="Q15" s="47"/>
      <c r="R15" s="48"/>
      <c r="S15" s="111"/>
      <c r="T15" s="55"/>
      <c r="U15" s="111"/>
      <c r="V15" s="55"/>
      <c r="W15" s="47"/>
      <c r="X15" s="48"/>
      <c r="Y15" s="47"/>
      <c r="Z15" s="48"/>
      <c r="AA15" s="47"/>
      <c r="AB15" s="48"/>
      <c r="AC15" s="47"/>
      <c r="AD15" s="48"/>
      <c r="AE15" s="47"/>
      <c r="AF15" s="48"/>
      <c r="AG15" s="111"/>
      <c r="AH15" s="55"/>
      <c r="AI15" s="111"/>
      <c r="AJ15" s="55"/>
      <c r="AK15" s="47"/>
      <c r="AL15" s="48"/>
      <c r="AM15" s="47"/>
      <c r="AN15" s="48"/>
      <c r="AO15" s="47"/>
      <c r="AP15" s="48"/>
      <c r="AQ15" s="47"/>
      <c r="AR15" s="48"/>
      <c r="AS15" s="47"/>
      <c r="AT15" s="48"/>
      <c r="AU15" s="111"/>
      <c r="AV15" s="55"/>
      <c r="AW15" s="111"/>
      <c r="AX15" s="55"/>
      <c r="AY15" s="47"/>
      <c r="AZ15" s="48"/>
      <c r="BA15" s="47"/>
      <c r="BB15" s="48"/>
      <c r="BC15" s="47"/>
      <c r="BD15" s="48"/>
      <c r="BE15" s="47"/>
      <c r="BF15" s="96"/>
      <c r="BG15" s="79"/>
      <c r="BH15" s="48"/>
      <c r="BI15" s="111"/>
      <c r="BJ15" s="55"/>
      <c r="BK15" s="111"/>
      <c r="BL15" s="55"/>
      <c r="BM15" s="47"/>
      <c r="BN15" s="48"/>
      <c r="BO15" s="47"/>
      <c r="BP15" s="48"/>
      <c r="BQ15" s="47"/>
      <c r="BR15" s="48"/>
      <c r="BS15" s="47"/>
      <c r="BT15" s="48"/>
      <c r="BU15" s="47"/>
      <c r="BV15" s="48"/>
    </row>
    <row r="16" spans="1:74" ht="15.75" customHeight="1" x14ac:dyDescent="0.25">
      <c r="A16" s="151" t="s">
        <v>17</v>
      </c>
      <c r="B16" s="152"/>
      <c r="C16" s="42"/>
      <c r="D16" s="50"/>
      <c r="E16" s="112"/>
      <c r="F16" s="56"/>
      <c r="G16" s="112"/>
      <c r="H16" s="56"/>
      <c r="I16" s="49"/>
      <c r="J16" s="50"/>
      <c r="K16" s="42"/>
      <c r="L16" s="65"/>
      <c r="M16" s="49"/>
      <c r="N16" s="50"/>
      <c r="O16" s="49"/>
      <c r="P16" s="50"/>
      <c r="Q16" s="49"/>
      <c r="R16" s="50"/>
      <c r="S16" s="112"/>
      <c r="T16" s="56"/>
      <c r="U16" s="112"/>
      <c r="V16" s="56"/>
      <c r="W16" s="49"/>
      <c r="X16" s="50"/>
      <c r="Y16" s="49"/>
      <c r="Z16" s="50"/>
      <c r="AA16" s="49"/>
      <c r="AB16" s="50"/>
      <c r="AC16" s="49"/>
      <c r="AD16" s="50"/>
      <c r="AE16" s="49"/>
      <c r="AF16" s="50"/>
      <c r="AG16" s="112"/>
      <c r="AH16" s="56"/>
      <c r="AI16" s="112"/>
      <c r="AJ16" s="56"/>
      <c r="AK16" s="49"/>
      <c r="AL16" s="50"/>
      <c r="AM16" s="49"/>
      <c r="AN16" s="50"/>
      <c r="AO16" s="49"/>
      <c r="AP16" s="50"/>
      <c r="AQ16" s="49"/>
      <c r="AR16" s="50"/>
      <c r="AS16" s="49"/>
      <c r="AT16" s="50"/>
      <c r="AU16" s="112"/>
      <c r="AV16" s="56"/>
      <c r="AW16" s="112"/>
      <c r="AX16" s="56"/>
      <c r="AY16" s="49"/>
      <c r="AZ16" s="50"/>
      <c r="BA16" s="49"/>
      <c r="BB16" s="50"/>
      <c r="BC16" s="49"/>
      <c r="BD16" s="50"/>
      <c r="BE16" s="49"/>
      <c r="BF16" s="50"/>
      <c r="BG16" s="49"/>
      <c r="BH16" s="99"/>
      <c r="BI16" s="112"/>
      <c r="BJ16" s="56"/>
      <c r="BK16" s="112"/>
      <c r="BL16" s="56"/>
      <c r="BM16" s="100"/>
      <c r="BN16" s="101"/>
      <c r="BO16" s="101"/>
      <c r="BP16" s="101"/>
      <c r="BQ16" s="102"/>
      <c r="BR16" s="50"/>
      <c r="BS16" s="49"/>
      <c r="BT16" s="50"/>
      <c r="BU16" s="49"/>
      <c r="BV16" s="50"/>
    </row>
    <row r="17" spans="1:74" ht="16.5" thickBot="1" x14ac:dyDescent="0.3">
      <c r="A17" s="142" t="s">
        <v>18</v>
      </c>
      <c r="B17" s="143"/>
      <c r="C17" s="61"/>
      <c r="D17" s="52"/>
      <c r="E17" s="113"/>
      <c r="F17" s="57"/>
      <c r="G17" s="113"/>
      <c r="H17" s="57"/>
      <c r="I17" s="51"/>
      <c r="J17" s="52"/>
      <c r="K17" s="61"/>
      <c r="L17" s="66"/>
      <c r="M17" s="51"/>
      <c r="N17" s="52"/>
      <c r="O17" s="51"/>
      <c r="P17" s="52"/>
      <c r="Q17" s="51"/>
      <c r="R17" s="52"/>
      <c r="S17" s="113"/>
      <c r="T17" s="57"/>
      <c r="U17" s="113"/>
      <c r="V17" s="57"/>
      <c r="W17" s="51"/>
      <c r="X17" s="52"/>
      <c r="Y17" s="51"/>
      <c r="Z17" s="52"/>
      <c r="AA17" s="51"/>
      <c r="AB17" s="52"/>
      <c r="AC17" s="51"/>
      <c r="AD17" s="52"/>
      <c r="AE17" s="51"/>
      <c r="AF17" s="52"/>
      <c r="AG17" s="113"/>
      <c r="AH17" s="57"/>
      <c r="AI17" s="113"/>
      <c r="AJ17" s="57"/>
      <c r="AK17" s="51"/>
      <c r="AL17" s="52"/>
      <c r="AM17" s="51"/>
      <c r="AN17" s="52"/>
      <c r="AO17" s="51"/>
      <c r="AP17" s="52"/>
      <c r="AQ17" s="51"/>
      <c r="AR17" s="52"/>
      <c r="AS17" s="51"/>
      <c r="AT17" s="52"/>
      <c r="AU17" s="113"/>
      <c r="AV17" s="57"/>
      <c r="AW17" s="113"/>
      <c r="AX17" s="57"/>
      <c r="AY17" s="51"/>
      <c r="AZ17" s="52"/>
      <c r="BA17" s="51"/>
      <c r="BB17" s="52"/>
      <c r="BC17" s="51"/>
      <c r="BD17" s="52"/>
      <c r="BE17" s="51"/>
      <c r="BF17" s="52"/>
      <c r="BG17" s="51"/>
      <c r="BH17" s="52"/>
      <c r="BI17" s="113"/>
      <c r="BJ17" s="57"/>
      <c r="BK17" s="113"/>
      <c r="BL17" s="57"/>
      <c r="BM17" s="51"/>
      <c r="BN17" s="52"/>
      <c r="BO17" s="51"/>
      <c r="BP17" s="52"/>
      <c r="BQ17" s="51"/>
      <c r="BR17" s="103"/>
      <c r="BS17" s="104"/>
      <c r="BT17" s="104"/>
      <c r="BU17" s="104"/>
      <c r="BV17" s="105"/>
    </row>
    <row r="18" spans="1:74" ht="15" customHeight="1" thickBot="1" x14ac:dyDescent="0.3"/>
    <row r="19" spans="1:74" ht="15.75" x14ac:dyDescent="0.25">
      <c r="A19" s="144" t="s">
        <v>51</v>
      </c>
      <c r="B19" s="144"/>
    </row>
    <row r="20" spans="1:74" x14ac:dyDescent="0.25">
      <c r="A20" s="73"/>
      <c r="B20" s="74" t="s">
        <v>52</v>
      </c>
    </row>
    <row r="21" spans="1:74" x14ac:dyDescent="0.25">
      <c r="A21" s="75"/>
      <c r="B21" s="74" t="s">
        <v>53</v>
      </c>
      <c r="M21" s="78"/>
      <c r="AY21" s="26"/>
    </row>
    <row r="22" spans="1:74" ht="15.75" thickBot="1" x14ac:dyDescent="0.3">
      <c r="A22" s="76"/>
      <c r="B22" s="72" t="s">
        <v>54</v>
      </c>
    </row>
  </sheetData>
  <mergeCells count="53">
    <mergeCell ref="A17:B17"/>
    <mergeCell ref="A19:B19"/>
    <mergeCell ref="A2:B2"/>
    <mergeCell ref="A4:B4"/>
    <mergeCell ref="A5:B5"/>
    <mergeCell ref="A6:B6"/>
    <mergeCell ref="A7:B7"/>
    <mergeCell ref="A8:B8"/>
    <mergeCell ref="A9:B9"/>
    <mergeCell ref="A10:B10"/>
    <mergeCell ref="A11:B11"/>
    <mergeCell ref="A16:B16"/>
    <mergeCell ref="A14:B14"/>
    <mergeCell ref="A15:B15"/>
    <mergeCell ref="A12:B12"/>
    <mergeCell ref="A13:B13"/>
    <mergeCell ref="AQ2:AR2"/>
    <mergeCell ref="AS2:AT2"/>
    <mergeCell ref="AU2:AV2"/>
    <mergeCell ref="AW2:AX2"/>
    <mergeCell ref="BU2:BV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M2:N2"/>
    <mergeCell ref="AO2:AP2"/>
    <mergeCell ref="AG2:AH2"/>
    <mergeCell ref="AI2:AJ2"/>
    <mergeCell ref="AK2:AL2"/>
    <mergeCell ref="A3:B3"/>
    <mergeCell ref="AM2:AN2"/>
    <mergeCell ref="AC2:AD2"/>
    <mergeCell ref="AE2:AF2"/>
    <mergeCell ref="Q2:R2"/>
    <mergeCell ref="S2:T2"/>
    <mergeCell ref="U2:V2"/>
    <mergeCell ref="W2:X2"/>
    <mergeCell ref="Y2:Z2"/>
    <mergeCell ref="AA2:AB2"/>
    <mergeCell ref="O2:P2"/>
    <mergeCell ref="C2:D2"/>
    <mergeCell ref="E2:F2"/>
    <mergeCell ref="G2:H2"/>
    <mergeCell ref="I2:J2"/>
    <mergeCell ref="K2:L2"/>
  </mergeCells>
  <pageMargins left="0.511811024" right="0.511811024" top="0.78740157499999996" bottom="0.78740157499999996" header="0.31496062000000002" footer="0.31496062000000002"/>
  <pageSetup paperSize="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Diagrama de Rede</vt:lpstr>
      <vt:lpstr>Custo</vt:lpstr>
      <vt:lpstr>Grafico de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de Jesus</dc:creator>
  <cp:lastModifiedBy>Felipe de Jesus</cp:lastModifiedBy>
  <cp:lastPrinted>2025-09-10T22:31:30Z</cp:lastPrinted>
  <dcterms:created xsi:type="dcterms:W3CDTF">2025-09-10T14:34:21Z</dcterms:created>
  <dcterms:modified xsi:type="dcterms:W3CDTF">2025-09-12T13:59:27Z</dcterms:modified>
</cp:coreProperties>
</file>