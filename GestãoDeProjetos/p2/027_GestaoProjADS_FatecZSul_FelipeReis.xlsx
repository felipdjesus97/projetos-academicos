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Felipe\Documents\MEGA\FATEC\6° semestre\Gestão de Projetos\p2\"/>
    </mc:Choice>
  </mc:AlternateContent>
  <xr:revisionPtr revIDLastSave="0" documentId="13_ncr:1_{87DD7B55-14E1-4DED-A0ED-6AE16B953181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Id" sheetId="1" r:id="rId1"/>
    <sheet name="Q1" sheetId="2" r:id="rId2"/>
    <sheet name="Q2" sheetId="3" r:id="rId3"/>
    <sheet name="Q3" sheetId="8" r:id="rId4"/>
    <sheet name="Q4" sheetId="6" r:id="rId5"/>
    <sheet name="Q5" sheetId="10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0" l="1"/>
  <c r="O11" i="10"/>
  <c r="N6" i="10"/>
  <c r="H6" i="10"/>
  <c r="H7" i="10"/>
  <c r="H8" i="10"/>
  <c r="H9" i="10"/>
  <c r="N7" i="10"/>
  <c r="M9" i="10"/>
  <c r="N8" i="10"/>
  <c r="N5" i="10"/>
  <c r="R31" i="6"/>
  <c r="N9" i="10" l="1"/>
  <c r="O10" i="10" s="1"/>
  <c r="R29" i="6"/>
  <c r="L11" i="6"/>
  <c r="R27" i="6"/>
  <c r="R25" i="6"/>
  <c r="S27" i="6"/>
  <c r="K11" i="6"/>
  <c r="R10" i="6"/>
  <c r="Q10" i="6"/>
  <c r="P10" i="6"/>
  <c r="G8" i="6"/>
  <c r="K3" i="6"/>
  <c r="G3" i="6"/>
  <c r="L6" i="6"/>
  <c r="K6" i="6"/>
  <c r="R9" i="6"/>
  <c r="P9" i="6"/>
  <c r="Q9" i="6"/>
  <c r="H11" i="6"/>
  <c r="G11" i="6"/>
  <c r="R8" i="6"/>
  <c r="Q8" i="6"/>
  <c r="P8" i="6"/>
  <c r="H6" i="6"/>
  <c r="G6" i="6"/>
  <c r="R7" i="6"/>
  <c r="S7" i="6" s="1"/>
  <c r="Q7" i="6"/>
  <c r="P7" i="6"/>
  <c r="C3" i="6"/>
  <c r="C8" i="6"/>
  <c r="D8" i="6"/>
  <c r="D11" i="6"/>
  <c r="C11" i="6"/>
  <c r="R6" i="6"/>
  <c r="S6" i="6"/>
  <c r="Q6" i="6"/>
  <c r="P6" i="6"/>
  <c r="H3" i="6"/>
  <c r="J3" i="6" s="1"/>
  <c r="L3" i="6" s="1"/>
  <c r="F3" i="6"/>
  <c r="F8" i="6"/>
  <c r="C6" i="6"/>
  <c r="D6" i="6"/>
  <c r="D3" i="6" s="1"/>
  <c r="Q5" i="6"/>
  <c r="P5" i="6"/>
  <c r="R5" i="6"/>
  <c r="S10" i="6" l="1"/>
  <c r="S11" i="6" s="1"/>
  <c r="S9" i="6"/>
  <c r="H8" i="6"/>
  <c r="J8" i="6" s="1"/>
  <c r="L8" i="6" s="1"/>
  <c r="K8" i="6" s="1"/>
  <c r="S8" i="6"/>
  <c r="S5" i="6"/>
  <c r="AB18" i="6" l="1"/>
  <c r="AB16" i="6"/>
  <c r="AB15" i="6"/>
  <c r="AB13" i="6"/>
  <c r="AB11" i="6"/>
  <c r="AB7" i="6"/>
  <c r="AB5" i="6"/>
  <c r="H18" i="8" l="1"/>
  <c r="I18" i="8"/>
  <c r="J18" i="8"/>
  <c r="G18" i="8"/>
  <c r="G17" i="8"/>
  <c r="H17" i="8"/>
  <c r="I17" i="8"/>
  <c r="J17" i="8"/>
  <c r="H16" i="8"/>
  <c r="I16" i="8"/>
  <c r="J16" i="8"/>
  <c r="G16" i="8"/>
  <c r="H15" i="8"/>
  <c r="I15" i="8"/>
  <c r="J15" i="8"/>
  <c r="G15" i="8"/>
  <c r="H14" i="8"/>
  <c r="I14" i="8"/>
  <c r="J14" i="8"/>
  <c r="G14" i="8"/>
  <c r="H13" i="8"/>
  <c r="I13" i="8"/>
  <c r="J13" i="8"/>
  <c r="G13" i="8"/>
  <c r="H12" i="8"/>
  <c r="I12" i="8"/>
  <c r="J12" i="8"/>
  <c r="G12" i="8"/>
  <c r="F1" i="1"/>
  <c r="N1" i="6"/>
  <c r="B1" i="10" l="1"/>
  <c r="B1" i="8"/>
  <c r="B1" i="3"/>
  <c r="B1" i="2"/>
</calcChain>
</file>

<file path=xl/sharedStrings.xml><?xml version="1.0" encoding="utf-8"?>
<sst xmlns="http://schemas.openxmlformats.org/spreadsheetml/2006/main" count="222" uniqueCount="203">
  <si>
    <t>Preencher o nome e RA na Planilha Id, células C9 e C10</t>
  </si>
  <si>
    <t>Valor</t>
  </si>
  <si>
    <t>Fatec Zona Sul</t>
  </si>
  <si>
    <t>Atividade P2 - 2S2025</t>
  </si>
  <si>
    <t>Gestão de Projetos</t>
  </si>
  <si>
    <t>Prof. Carlos Giordano</t>
  </si>
  <si>
    <t>giordanofatec@yahoo.com.br</t>
  </si>
  <si>
    <t>Nome:</t>
  </si>
  <si>
    <t>RA:</t>
  </si>
  <si>
    <t>1. Após responder, enviar para giordanofatec@yahoo.com.br.</t>
  </si>
  <si>
    <t>2. Assunto do e-mail a enviar: P2 Seunome 2S2025</t>
  </si>
  <si>
    <t>3. Aguardar a confirmação do recebimento.</t>
  </si>
  <si>
    <t>Atenção: Valor da atividade: 10,5. Nota máxima 10,0, sem saldo para as atividades posteriores.</t>
  </si>
  <si>
    <t>Atenção: A atividade P2 é um Projeto com data e hora de entrega. Atrasos geram descontos referentes às multas pertinentes.</t>
  </si>
  <si>
    <t>Se existirem, assinalar a(s) alternativa(s) correta(s) sobre o framework Scrum:</t>
  </si>
  <si>
    <t>(    ) O  Manifesto ágil  valoriza mais os acertos financeiros do que o bom relacionamento com o cliente.</t>
  </si>
  <si>
    <t>(    ) O Incremento do Produto faz parte do Backlog.</t>
  </si>
  <si>
    <t>(     ) O Daily Scrum se refere às discussões sobre as lições aprendidas, aplicáveis aos próximos Sprints.</t>
  </si>
  <si>
    <t>(     ) É aplicável somente a projetos de software de qualquer duração.</t>
  </si>
  <si>
    <t>(     ) O Backlog do Produto é um outro nome dado ao Backlog da Sprint.</t>
  </si>
  <si>
    <t>(     ) Uma das vantagens do Scrum é o foco total no time de Projetos.</t>
  </si>
  <si>
    <t>(     ) Os papeis centrais incluem: Dono do Produto, Scrum Master e Cliente.</t>
  </si>
  <si>
    <t xml:space="preserve">(     ) O Scrum Master entrega valor de negócio ao cliente. </t>
  </si>
  <si>
    <t>Selecionar uma alternativa não assinalada como correta, escrever o correto e explicar o porquê.</t>
  </si>
  <si>
    <r>
      <t xml:space="preserve">Dos itens a seguir, assinalar qual(is) </t>
    </r>
    <r>
      <rPr>
        <u/>
        <sz val="10"/>
        <color theme="1"/>
        <rFont val="Arial Rounded MT Bold"/>
        <family val="2"/>
      </rPr>
      <t>não</t>
    </r>
    <r>
      <rPr>
        <sz val="10"/>
        <color theme="1"/>
        <rFont val="Arial Rounded MT Bold"/>
        <family val="2"/>
      </rPr>
      <t xml:space="preserve"> faz(em) parte do método Kanban:</t>
    </r>
  </si>
  <si>
    <t>Selecionar uma alternativa assinalada e explicar o porquê da assinalação.</t>
  </si>
  <si>
    <t>Pede-se:</t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</si>
  <si>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0"/>
        <color rgb="FF000000"/>
        <rFont val="Arial Rounded MT Bold"/>
        <family val="2"/>
      </rPr>
      <t xml:space="preserve">Avaliar as </t>
    </r>
    <r>
      <rPr>
        <b/>
        <u/>
        <sz val="10"/>
        <color rgb="FF000000"/>
        <rFont val="Arial Rounded MT Bold"/>
        <family val="2"/>
      </rPr>
      <t>quatro</t>
    </r>
    <r>
      <rPr>
        <sz val="10"/>
        <color rgb="FF000000"/>
        <rFont val="Arial Rounded MT Bold"/>
        <family val="2"/>
      </rPr>
      <t xml:space="preserve"> situações (S1 a S4) do Quadro, relativas às situações dos Projetos P1 a P4, diferentes, mediante elaboração dos cálculos necessários. 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</si>
  <si>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0"/>
        <color rgb="FF000000"/>
        <rFont val="Arial Rounded MT Bold"/>
        <family val="2"/>
      </rPr>
      <t xml:space="preserve">Determinar as situações dos quatro projetos, em termos de prazo e custo (provar com pelo menos um cálculo). </t>
    </r>
  </si>
  <si>
    <r>
      <t>c)</t>
    </r>
    <r>
      <rPr>
        <sz val="7"/>
        <color theme="1"/>
        <rFont val="Times New Roman"/>
        <family val="1"/>
      </rPr>
      <t xml:space="preserve">     </t>
    </r>
    <r>
      <rPr>
        <sz val="10"/>
        <color rgb="FF000000"/>
        <rFont val="Arial Rounded MT Bold"/>
        <family val="2"/>
      </rPr>
      <t xml:space="preserve">Calcular, em reais, as estimativas de quanto os quatro projetos gastarão a mais </t>
    </r>
    <r>
      <rPr>
        <u/>
        <sz val="10"/>
        <color rgb="FF000000"/>
        <rFont val="Arial Rounded MT Bold"/>
        <family val="2"/>
      </rPr>
      <t>ou</t>
    </r>
    <r>
      <rPr>
        <sz val="10"/>
        <color rgb="FF000000"/>
        <rFont val="Arial Rounded MT Bold"/>
        <family val="2"/>
      </rPr>
      <t xml:space="preserve"> economizarão ao final, para as quatro situações. Calcular e informar todos os valores apurados.</t>
    </r>
  </si>
  <si>
    <r>
      <t>d)</t>
    </r>
    <r>
      <rPr>
        <sz val="7"/>
        <color theme="1"/>
        <rFont val="Times New Roman"/>
        <family val="1"/>
      </rPr>
      <t xml:space="preserve">     </t>
    </r>
    <r>
      <rPr>
        <sz val="10"/>
        <color rgb="FF000000"/>
        <rFont val="Arial Rounded MT Bold"/>
        <family val="2"/>
      </rPr>
      <t>Qual dos projetos corre o maior Risco de alterações no cronograma e no custo? Por quê?</t>
    </r>
  </si>
  <si>
    <t>Informação: valor do ONT de todas as situações: 12.350.</t>
  </si>
  <si>
    <t>Tabela</t>
  </si>
  <si>
    <t>Recurso</t>
  </si>
  <si>
    <t>Competente Tarefa</t>
  </si>
  <si>
    <t>Entrega em/horas</t>
  </si>
  <si>
    <t>Custo RH</t>
  </si>
  <si>
    <t>Base</t>
  </si>
  <si>
    <t>Custo/Hora</t>
  </si>
  <si>
    <t>T1</t>
  </si>
  <si>
    <t>T3</t>
  </si>
  <si>
    <t>T5</t>
  </si>
  <si>
    <t>Tarefa</t>
  </si>
  <si>
    <t>RH Alocado</t>
  </si>
  <si>
    <t>Custo RH/h</t>
  </si>
  <si>
    <t>Horas Alocadas</t>
  </si>
  <si>
    <t>Custo da Tarefa</t>
  </si>
  <si>
    <t>Lisa</t>
  </si>
  <si>
    <t>Hora</t>
  </si>
  <si>
    <t>Homer</t>
  </si>
  <si>
    <t>Dia</t>
  </si>
  <si>
    <t>Marge</t>
  </si>
  <si>
    <t>T2</t>
  </si>
  <si>
    <t>T4</t>
  </si>
  <si>
    <t>T6</t>
  </si>
  <si>
    <t>Maggie</t>
  </si>
  <si>
    <t>Total</t>
  </si>
  <si>
    <t>Laura</t>
  </si>
  <si>
    <t>Semana</t>
  </si>
  <si>
    <t>Lovejoy</t>
  </si>
  <si>
    <t>Backy</t>
  </si>
  <si>
    <t>Quinzena</t>
  </si>
  <si>
    <t>Bart</t>
  </si>
  <si>
    <t>Mês</t>
  </si>
  <si>
    <t>Matt</t>
  </si>
  <si>
    <t xml:space="preserve">- Observar o Diagrama de Rede composto por 6 Tarefas, </t>
  </si>
  <si>
    <t>atentando para as precedências e durações em dias corridos.</t>
  </si>
  <si>
    <t>- Observar o Quadro mostrando os recursos disponíveis, as</t>
  </si>
  <si>
    <t>tarefas em que os recursos são competentes, a entrega em</t>
  </si>
  <si>
    <t>Resultado</t>
  </si>
  <si>
    <t>horas e o custo informado pelo RH.</t>
  </si>
  <si>
    <t>Dia/8</t>
  </si>
  <si>
    <t>Semana/7</t>
  </si>
  <si>
    <t>Quinzena/15</t>
  </si>
  <si>
    <t xml:space="preserve">1. Alocar os recursos nas Tarefas visando ao final </t>
  </si>
  <si>
    <t>Mês/30</t>
  </si>
  <si>
    <t xml:space="preserve">    o menor custo. Alocar um recurso por Tarefa.</t>
  </si>
  <si>
    <t>2. Informar o total de dias corridos do projeto.</t>
  </si>
  <si>
    <t>3. Criar Tabela em que se detalham a alocação do</t>
  </si>
  <si>
    <t xml:space="preserve">      recurso e o custo de cada Tarefa.</t>
  </si>
  <si>
    <t>4. Apresentar na Tabela criada o custo Total.</t>
  </si>
  <si>
    <t>5. Informar as tarefas do caminho crítico e com folga.</t>
  </si>
  <si>
    <t xml:space="preserve">Em um Projeto de desenvolvimento de normas de segurança existem os seguintes Riscos: </t>
  </si>
  <si>
    <t>1) T39 - Modificações no escopo por parte da alta administração (Impacto 1: 13% de R$25.500);</t>
  </si>
  <si>
    <t>2) T41 - Treinamentos antecipados (impacto 1: 23% de R$11.000)</t>
  </si>
  <si>
    <t>3) T64 – Alterações nos critérios de Qualidade (impacto 1: 27% de R$40.000,00).</t>
  </si>
  <si>
    <t>4) T88 - Falhas nos equipamentos de Tecnologia da Informação (impacto 1: 31% de R$28.500); e,</t>
  </si>
  <si>
    <t xml:space="preserve">5) T94 – Valor do Euro (impacto 1: 53% de R$23.100). </t>
  </si>
  <si>
    <r>
      <t>Pede-se</t>
    </r>
    <r>
      <rPr>
        <sz val="10"/>
        <color theme="1"/>
        <rFont val="Arial Rounded MT Bold"/>
        <family val="2"/>
      </rPr>
      <t>, arbitrar e responder justificando detalhadamente (</t>
    </r>
    <r>
      <rPr>
        <u/>
        <sz val="10"/>
        <color theme="1"/>
        <rFont val="Arial Rounded MT Bold"/>
        <family val="2"/>
      </rPr>
      <t>em cada uma das cinco tarefas</t>
    </r>
    <r>
      <rPr>
        <sz val="10"/>
        <color theme="1"/>
        <rFont val="Arial Rounded MT Bold"/>
        <family val="2"/>
      </rPr>
      <t>):</t>
    </r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</si>
  <si>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 Rounded MT Bold"/>
        <family val="2"/>
      </rPr>
      <t>Fase 1: arbitrar o tipo do risco (+ ou -), a Probabilidade 1 e calcular o Valor de Contingência 1 previsto para cada risco.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</si>
  <si>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 Rounded MT Bold"/>
        <family val="2"/>
      </rPr>
      <t>Fase 2: para cada risco, escolher qual a melhor Estratégia a ser adotada (</t>
    </r>
    <r>
      <rPr>
        <b/>
        <u/>
        <sz val="10"/>
        <color theme="1"/>
        <rFont val="Arial Rounded MT Bold"/>
        <family val="2"/>
      </rPr>
      <t>não</t>
    </r>
    <r>
      <rPr>
        <b/>
        <sz val="10"/>
        <color theme="1"/>
        <rFont val="Arial Rounded MT Bold"/>
        <family val="2"/>
      </rPr>
      <t xml:space="preserve"> repetir estratégias</t>
    </r>
    <r>
      <rPr>
        <sz val="10"/>
        <color theme="1"/>
        <rFont val="Arial Rounded MT Bold"/>
        <family val="2"/>
      </rPr>
      <t>).</t>
    </r>
  </si>
  <si>
    <r>
      <t>c)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Arial Rounded MT Bold"/>
        <family val="2"/>
      </rPr>
      <t>Fase 3: depois das estratégias adotadas, qual a Probabilidade 2 e o Impacto 2 em R$ planejados de cada risco.</t>
    </r>
  </si>
  <si>
    <t>d) Qual o total de contingência em reais reservado ou economizado pelo projeto.</t>
  </si>
  <si>
    <t>e) Responder detalhadamente: Afinal, para que serve o valor de contingência calculado?</t>
  </si>
  <si>
    <t xml:space="preserve">Lembrando: </t>
  </si>
  <si>
    <t>Nos exercícios em sala e nas Ps alguns valores são arbitrados, no mundo real esses valores devem ser APURADOS.</t>
  </si>
  <si>
    <t>Felipe de Jesus dos Reis</t>
  </si>
  <si>
    <t>1370482421013</t>
  </si>
  <si>
    <t>O Manifesto Ágil valoriza colaboração com o cliente mais que negociação de contratos</t>
  </si>
  <si>
    <t>O incremento é o resultado do Sprint, não um item do backlog</t>
  </si>
  <si>
    <t>Isso ocorre na Sprint Retrospective, o Daily Scrum é uma reunião diária de 15 min para inspecionar progresso</t>
  </si>
  <si>
    <t>Scrum pode ser aplicado em qualquer domínio, não apenas software</t>
  </si>
  <si>
    <t>Product Backlog: lista de tudo que o produto precisa e Sprint Backlog: itens selecionados para a Sprint + plano para entregá-los</t>
  </si>
  <si>
    <t>O foco é no valor entregue ao cliente, não apenas no time</t>
  </si>
  <si>
    <t>Os papéis são: Product Owner, Scrum Master e Developers. “Cliente” não é um papel do Scrum</t>
  </si>
  <si>
    <t>Quem maximiza o valor é o Product Owner. O Scrum Master facilita o processo.</t>
  </si>
  <si>
    <t>( x ) Cálculo e reserva do valor de contingência para proteção aos riscos.</t>
  </si>
  <si>
    <t>( x )  O sistema funciona por meio de atividades e tarefas empurradas.</t>
  </si>
  <si>
    <t>( x )  Revisão por meio das StandUp.</t>
  </si>
  <si>
    <t>( x )  Finalização do Time-boxed.</t>
  </si>
  <si>
    <t>( x )  Não se adapta ao framework Scrum.</t>
  </si>
  <si>
    <t>( x )  Aplicativo MS Project.</t>
  </si>
  <si>
    <t xml:space="preserve">(    ) Uso de cartões coloridos para efeito de atenção.  </t>
  </si>
  <si>
    <t xml:space="preserve">(    ) Reuniões de fluxo.       </t>
  </si>
  <si>
    <t>Isso é prática de gestão de riscos tradicional/preditiva, não do Kanban</t>
  </si>
  <si>
    <t>Kanban trabalha com sistema puxado (pull system), não empurrado</t>
  </si>
  <si>
    <t>Stand-up meetings são uma prática comum, mas não fazem parte do método Kanban em sua essência; o método não define cerimônias obrigatórias</t>
  </si>
  <si>
    <t>Kanban não usa time-box, essa é uma característica do Scrum</t>
  </si>
  <si>
    <t>Kanban pode ser integrado ao Scrum</t>
  </si>
  <si>
    <t>É apenas uma ferramenta de planejamento tradicional, não parte do método</t>
  </si>
  <si>
    <t>S1</t>
  </si>
  <si>
    <t>S2</t>
  </si>
  <si>
    <t>S3</t>
  </si>
  <si>
    <t>S4</t>
  </si>
  <si>
    <t>VP</t>
  </si>
  <si>
    <t>VA</t>
  </si>
  <si>
    <t>CR</t>
  </si>
  <si>
    <t>VC</t>
  </si>
  <si>
    <t>IDC</t>
  </si>
  <si>
    <t>VPR</t>
  </si>
  <si>
    <t>IDP</t>
  </si>
  <si>
    <t>ENT</t>
  </si>
  <si>
    <t>VCN</t>
  </si>
  <si>
    <t>ONT</t>
  </si>
  <si>
    <t>EPT</t>
  </si>
  <si>
    <t>S2: VPR = 0, logo está no prazo; VC = 10, logo econômico (sobrou custo).</t>
  </si>
  <si>
    <t>S3: VPR = −50, logo está atrasado; VC = −20, logo estourou o custo</t>
  </si>
  <si>
    <t>S4: VPR = 30, logo está adiantado; VC = 20, logo é econômico (sobrou custo).</t>
  </si>
  <si>
    <t>S1: VPR = −10, logo atrasado; VC = 0, logo está no custo</t>
  </si>
  <si>
    <t>A)</t>
  </si>
  <si>
    <t>B)</t>
  </si>
  <si>
    <t>C)</t>
  </si>
  <si>
    <t>D)</t>
  </si>
  <si>
    <t>VPR = −50 mostra um atraso significativo no cronograma.</t>
  </si>
  <si>
    <t>S3 é o que corre maior risco de mudanças / problemas, porque:</t>
  </si>
  <si>
    <t>Variância ao término negativa: VCN = −2.470, ou seja a EAC é bem maior que o orçamento (previsão de sobrecusto).</t>
  </si>
  <si>
    <t>Portanto S3 apresenta tanto risco de atraso quanto de estouro de custo.</t>
  </si>
  <si>
    <t>S1: VCN = 0, nenhuma variação.</t>
  </si>
  <si>
    <t>S2: VCN = 950, economia de R$ 950,00</t>
  </si>
  <si>
    <t>S3: VCN = -2.470, previsão de gastar R$2.470,00 a mais (estouro).</t>
  </si>
  <si>
    <t>S4: VCN = 1.646,67, economia de R$1.646,67</t>
  </si>
  <si>
    <t>Índices de desempenho ambos &lt; 1: IDC = 0,833 (&lt;1) indica tendência de gasto acima do previsto (pior custo); IDP = 0,667 (&lt;1) indica forte atraso relativo ao plano.</t>
  </si>
  <si>
    <t xml:space="preserve">Tarefas do Caminho Crítico: </t>
  </si>
  <si>
    <t xml:space="preserve">Tarefas com Folga (horas de Folga): </t>
  </si>
  <si>
    <t>% Tarefas do caminho crítico:</t>
  </si>
  <si>
    <t>dia</t>
  </si>
  <si>
    <t>2;4;6</t>
  </si>
  <si>
    <t>quantidade de dias do Projeto:</t>
  </si>
  <si>
    <t>1(0,5*);3(5*);5(3,5*)</t>
  </si>
  <si>
    <t xml:space="preserve"> obs: a tarefa 1 tem essa folga, porque o Recurso está alocado na tarefa 4 também</t>
  </si>
  <si>
    <t>Custo do projeto:</t>
  </si>
  <si>
    <t>número de horas totais do Projeto:</t>
  </si>
  <si>
    <t>Fase 1</t>
  </si>
  <si>
    <t>Fase 2</t>
  </si>
  <si>
    <t>Fase 3</t>
  </si>
  <si>
    <t>Risco</t>
  </si>
  <si>
    <t>+/-</t>
  </si>
  <si>
    <t>P1%</t>
  </si>
  <si>
    <t>I1R$</t>
  </si>
  <si>
    <t>Custo Tarefa</t>
  </si>
  <si>
    <t>I1%</t>
  </si>
  <si>
    <t>Estratégia</t>
  </si>
  <si>
    <t>P2%</t>
  </si>
  <si>
    <t>I2R$</t>
  </si>
  <si>
    <t>Reserva R$</t>
  </si>
  <si>
    <t>Efeito no Projeto</t>
  </si>
  <si>
    <t>-</t>
  </si>
  <si>
    <t>Falhas nos equipamentos de TI</t>
  </si>
  <si>
    <t>+</t>
  </si>
  <si>
    <t>Treinamentos antecipados</t>
  </si>
  <si>
    <t xml:space="preserve">Contingência (reserva)   </t>
  </si>
  <si>
    <t xml:space="preserve">Riscos positivos  </t>
  </si>
  <si>
    <t>Modificações no escopo (alta administração)</t>
  </si>
  <si>
    <t>Alterações nos critérios de Qualidade</t>
  </si>
  <si>
    <t>Variação do valor do Euro</t>
  </si>
  <si>
    <t xml:space="preserve">Eliminar        </t>
  </si>
  <si>
    <t xml:space="preserve">Explorar       </t>
  </si>
  <si>
    <t xml:space="preserve">Transferir     </t>
  </si>
  <si>
    <t xml:space="preserve">Mitigar        </t>
  </si>
  <si>
    <t xml:space="preserve">Aceitar        </t>
  </si>
  <si>
    <t>Redução quase total do risco</t>
  </si>
  <si>
    <t>Ganho esperado no cronograma</t>
  </si>
  <si>
    <t>Redução do impacto via contrato</t>
  </si>
  <si>
    <t>Redução de falhas via manutenção/SLA</t>
  </si>
  <si>
    <t xml:space="preserve"> Exposição mantida ao câmbio</t>
  </si>
  <si>
    <t>E)</t>
  </si>
  <si>
    <t>Criar reserva financeira realista para riscos identificados.</t>
  </si>
  <si>
    <t>Proteger cronograma e orçamento contra eventos adversos.</t>
  </si>
  <si>
    <t>Tomar decisões racionais: comparar custo de resposta versus custo esperado do risco.</t>
  </si>
  <si>
    <t>Mostrar transparência aos stakeholders (justificar orçamento acima do custo-base).</t>
  </si>
  <si>
    <t>Medir eficácia das respostas (comparando Contingência 1 e Contingência 2).</t>
  </si>
  <si>
    <t>Diferenciar riscos negativos e oportunidades, incluindo ganhos planejados.</t>
  </si>
  <si>
    <t>Evitar surpresas: quando um risco ocorre, os recursos já estão previstos.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</si>
</sst>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"/>
    <numFmt numFmtId="171" formatCode="0.000"/>
    <numFmt numFmtId="178" formatCode="0.0%"/>
  </numFmts>
  <fonts count="21" x14ac:knownFonts="1">
    <font>
      <sz val="11"/>
      <color theme="1"/>
      <name val="Arial Rounded MT Bold"/>
      <family val="2"/>
    </font>
    <font>
      <b/>
      <sz val="11"/>
      <color rgb="FFFF0000"/>
      <name val="Arial Rounded MT Bold"/>
      <family val="2"/>
    </font>
    <font>
      <sz val="11"/>
      <color theme="1"/>
      <name val="Arial Rounded MT Bold"/>
      <family val="2"/>
    </font>
    <font>
      <sz val="10"/>
      <color theme="1"/>
      <name val="Arial Rounded MT Bold"/>
      <family val="2"/>
    </font>
    <font>
      <u/>
      <sz val="10"/>
      <color theme="1"/>
      <name val="Arial Rounded MT Bold"/>
      <family val="2"/>
    </font>
    <font>
      <sz val="10"/>
      <color rgb="FF000000"/>
      <name val="Arial Rounded MT Bold"/>
      <family val="2"/>
    </font>
    <font>
      <sz val="7"/>
      <color theme="1"/>
      <name val="Times New Roman"/>
      <family val="1"/>
    </font>
    <font>
      <b/>
      <u/>
      <sz val="10"/>
      <color rgb="FF000000"/>
      <name val="Arial Rounded MT Bold"/>
      <family val="2"/>
    </font>
    <font>
      <u/>
      <sz val="10"/>
      <color rgb="FF000000"/>
      <name val="Arial Rounded MT Bold"/>
      <family val="2"/>
    </font>
    <font>
      <b/>
      <sz val="10"/>
      <color theme="1"/>
      <name val="Arial Rounded MT Bold"/>
      <family val="2"/>
    </font>
    <font>
      <b/>
      <u/>
      <sz val="10"/>
      <color theme="1"/>
      <name val="Arial Rounded MT Bold"/>
      <family val="2"/>
    </font>
    <font>
      <sz val="10"/>
      <color rgb="FFFF0000"/>
      <name val="Arial Rounded MT Bold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rgb="FF002060"/>
      <name val="Arial Rounded MT Bold"/>
      <family val="2"/>
    </font>
    <font>
      <sz val="11"/>
      <color rgb="FFFF0000"/>
      <name val="Arial Rounded MT Bold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0" xfId="0" applyFill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44" fontId="0" fillId="0" borderId="0" xfId="1" applyFont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44" fontId="0" fillId="0" borderId="10" xfId="1" applyFont="1" applyBorder="1"/>
    <xf numFmtId="44" fontId="0" fillId="0" borderId="10" xfId="1" applyFont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44" fontId="0" fillId="0" borderId="10" xfId="1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quotePrefix="1"/>
    <xf numFmtId="0" fontId="0" fillId="0" borderId="1" xfId="0" applyBorder="1"/>
    <xf numFmtId="0" fontId="0" fillId="0" borderId="18" xfId="0" applyBorder="1"/>
    <xf numFmtId="0" fontId="0" fillId="0" borderId="26" xfId="0" applyBorder="1"/>
    <xf numFmtId="0" fontId="0" fillId="0" borderId="19" xfId="0" applyBorder="1"/>
    <xf numFmtId="0" fontId="0" fillId="0" borderId="27" xfId="0" applyBorder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 applyAlignment="1">
      <alignment horizontal="justify" vertical="center"/>
    </xf>
    <xf numFmtId="0" fontId="3" fillId="0" borderId="0" xfId="0" applyFont="1"/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justify" vertical="center"/>
    </xf>
    <xf numFmtId="0" fontId="0" fillId="4" borderId="0" xfId="0" applyFill="1"/>
    <xf numFmtId="0" fontId="4" fillId="0" borderId="0" xfId="0" applyFont="1" applyAlignment="1">
      <alignment horizontal="justify" vertical="center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justify" vertical="center"/>
    </xf>
    <xf numFmtId="0" fontId="11" fillId="0" borderId="0" xfId="0" applyFont="1"/>
    <xf numFmtId="0" fontId="0" fillId="4" borderId="0" xfId="0" applyFill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right"/>
    </xf>
    <xf numFmtId="0" fontId="0" fillId="0" borderId="26" xfId="0" applyBorder="1" applyAlignment="1">
      <alignment horizontal="right"/>
    </xf>
    <xf numFmtId="49" fontId="0" fillId="2" borderId="1" xfId="0" applyNumberFormat="1" applyFill="1" applyBorder="1"/>
    <xf numFmtId="0" fontId="13" fillId="0" borderId="0" xfId="0" applyFont="1"/>
    <xf numFmtId="0" fontId="15" fillId="0" borderId="0" xfId="0" applyFont="1"/>
    <xf numFmtId="0" fontId="13" fillId="0" borderId="0" xfId="0" applyFont="1" applyAlignment="1">
      <alignment horizontal="left" wrapText="1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44" fontId="0" fillId="0" borderId="0" xfId="0" applyNumberFormat="1"/>
    <xf numFmtId="44" fontId="0" fillId="0" borderId="9" xfId="0" applyNumberFormat="1" applyBorder="1"/>
    <xf numFmtId="164" fontId="0" fillId="0" borderId="9" xfId="0" applyNumberFormat="1" applyBorder="1"/>
    <xf numFmtId="44" fontId="0" fillId="0" borderId="21" xfId="0" applyNumberFormat="1" applyBorder="1"/>
    <xf numFmtId="44" fontId="0" fillId="0" borderId="1" xfId="0" applyNumberFormat="1" applyBorder="1"/>
    <xf numFmtId="164" fontId="0" fillId="0" borderId="1" xfId="0" applyNumberFormat="1" applyBorder="1"/>
    <xf numFmtId="0" fontId="17" fillId="0" borderId="1" xfId="0" applyFont="1" applyBorder="1" applyAlignment="1">
      <alignment horizontal="center"/>
    </xf>
    <xf numFmtId="0" fontId="17" fillId="0" borderId="1" xfId="0" quotePrefix="1" applyFont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/>
    </xf>
    <xf numFmtId="0" fontId="18" fillId="0" borderId="1" xfId="0" quotePrefix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44" fontId="0" fillId="4" borderId="19" xfId="0" applyNumberFormat="1" applyFill="1" applyBorder="1"/>
    <xf numFmtId="0" fontId="17" fillId="0" borderId="0" xfId="0" applyFont="1"/>
    <xf numFmtId="0" fontId="18" fillId="0" borderId="0" xfId="0" applyFont="1"/>
    <xf numFmtId="44" fontId="0" fillId="0" borderId="8" xfId="0" applyNumberFormat="1" applyBorder="1"/>
    <xf numFmtId="164" fontId="0" fillId="0" borderId="8" xfId="0" applyNumberFormat="1" applyBorder="1"/>
    <xf numFmtId="171" fontId="13" fillId="0" borderId="1" xfId="0" applyNumberFormat="1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2" fontId="16" fillId="0" borderId="1" xfId="0" applyNumberFormat="1" applyFont="1" applyBorder="1" applyAlignment="1">
      <alignment horizontal="center"/>
    </xf>
    <xf numFmtId="2" fontId="0" fillId="0" borderId="0" xfId="0" applyNumberFormat="1"/>
    <xf numFmtId="0" fontId="15" fillId="0" borderId="0" xfId="0" applyFont="1" applyAlignment="1">
      <alignment horizontal="left"/>
    </xf>
    <xf numFmtId="178" fontId="15" fillId="0" borderId="0" xfId="2" applyNumberFormat="1" applyFont="1" applyAlignment="1">
      <alignment horizontal="left"/>
    </xf>
    <xf numFmtId="164" fontId="15" fillId="0" borderId="0" xfId="0" applyNumberFormat="1" applyFont="1"/>
    <xf numFmtId="2" fontId="15" fillId="0" borderId="0" xfId="0" applyNumberFormat="1" applyFont="1"/>
    <xf numFmtId="44" fontId="15" fillId="0" borderId="0" xfId="0" applyNumberFormat="1" applyFont="1"/>
    <xf numFmtId="0" fontId="0" fillId="0" borderId="0" xfId="0" applyFont="1"/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33" xfId="0" applyFont="1" applyBorder="1" applyAlignment="1">
      <alignment horizontal="center" vertical="center" wrapText="1"/>
    </xf>
    <xf numFmtId="9" fontId="13" fillId="0" borderId="33" xfId="0" applyNumberFormat="1" applyFont="1" applyBorder="1" applyAlignment="1">
      <alignment horizontal="center" vertical="center" wrapText="1"/>
    </xf>
    <xf numFmtId="44" fontId="13" fillId="0" borderId="33" xfId="1" applyFont="1" applyBorder="1" applyAlignment="1">
      <alignment horizontal="center" vertical="center" wrapText="1"/>
    </xf>
    <xf numFmtId="178" fontId="13" fillId="0" borderId="33" xfId="2" applyNumberFormat="1" applyFont="1" applyBorder="1" applyAlignment="1">
      <alignment horizontal="right" vertical="center" wrapText="1"/>
    </xf>
    <xf numFmtId="44" fontId="13" fillId="0" borderId="33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right" vertical="center" wrapText="1"/>
    </xf>
    <xf numFmtId="0" fontId="19" fillId="0" borderId="29" xfId="0" applyFont="1" applyBorder="1" applyAlignment="1">
      <alignment horizontal="right" vertical="center" wrapText="1"/>
    </xf>
    <xf numFmtId="44" fontId="20" fillId="6" borderId="10" xfId="1" applyFont="1" applyFill="1" applyBorder="1" applyAlignment="1">
      <alignment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7" borderId="33" xfId="0" applyFont="1" applyFill="1" applyBorder="1" applyAlignment="1">
      <alignment horizontal="center" vertical="center" wrapText="1"/>
    </xf>
    <xf numFmtId="44" fontId="13" fillId="7" borderId="33" xfId="0" applyNumberFormat="1" applyFont="1" applyFill="1" applyBorder="1" applyAlignment="1">
      <alignment horizontal="center" vertical="center" wrapText="1"/>
    </xf>
    <xf numFmtId="0" fontId="13" fillId="7" borderId="33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22859</xdr:colOff>
      <xdr:row>10</xdr:row>
      <xdr:rowOff>15240</xdr:rowOff>
    </xdr:from>
    <xdr:to>
      <xdr:col>1</xdr:col>
      <xdr:colOff>6719986</xdr:colOff>
      <xdr:row>11</xdr:row>
      <xdr:rowOff>144780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8BE460-A3C0-B6C8-B6E9-40C81EC80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39" y="2072640"/>
          <a:ext cx="6697127" cy="30480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1</xdr:row>
      <xdr:rowOff>121920</xdr:rowOff>
    </xdr:from>
    <xdr:to>
      <xdr:col>10</xdr:col>
      <xdr:colOff>30177</xdr:colOff>
      <xdr:row>4</xdr:row>
      <xdr:rowOff>304800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79985BF-22AB-655B-77FE-0E55C12F9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37120" y="297180"/>
          <a:ext cx="3672537" cy="8686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21168</xdr:colOff>
      <xdr:row>4</xdr:row>
      <xdr:rowOff>10583</xdr:rowOff>
    </xdr:from>
    <xdr:to>
      <xdr:col>4</xdr:col>
      <xdr:colOff>222250</xdr:colOff>
      <xdr:row>4</xdr:row>
      <xdr:rowOff>10583</xdr:rowOff>
    </xdr:to>
    <xdr:cxnSp macro="">
      <xdr:nvCxnSpPr>
        <xdr:cNvPr id="3" name="Conector de seta reta 3">
          <a:extLst>
            <a:ext uri="{FF2B5EF4-FFF2-40B4-BE49-F238E27FC236}">
              <a16:creationId xmlns:a16="http://schemas.microsoft.com/office/drawing/2014/main" id="{BEFF6252-E62D-4478-B9B2-5E4E40CD2387}"/>
            </a:ext>
          </a:extLst>
        </xdr:cNvPr>
        <xdr:cNvCxnSpPr/>
      </xdr:nvCxnSpPr>
      <xdr:spPr>
        <a:xfrm>
          <a:off x="1430868" y="734483"/>
          <a:ext cx="20108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63500</xdr:colOff>
      <xdr:row>4</xdr:row>
      <xdr:rowOff>4233</xdr:rowOff>
    </xdr:from>
    <xdr:to>
      <xdr:col>5</xdr:col>
      <xdr:colOff>14816</xdr:colOff>
      <xdr:row>4</xdr:row>
      <xdr:rowOff>10583</xdr:rowOff>
    </xdr:to>
    <xdr:cxnSp macro="">
      <xdr:nvCxnSpPr>
        <xdr:cNvPr id="5" name="Conector de seta reta 3">
          <a:extLst>
            <a:ext uri="{FF2B5EF4-FFF2-40B4-BE49-F238E27FC236}">
              <a16:creationId xmlns:a16="http://schemas.microsoft.com/office/drawing/2014/main" id="{48B7DF6D-F23F-41B6-BDC6-7F087C9AC381}"/>
            </a:ext>
          </a:extLst>
        </xdr:cNvPr>
        <xdr:cNvCxnSpPr/>
      </xdr:nvCxnSpPr>
      <xdr:spPr>
        <a:xfrm flipV="1">
          <a:off x="1516063" y="754327"/>
          <a:ext cx="118003" cy="63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12701</xdr:colOff>
      <xdr:row>4</xdr:row>
      <xdr:rowOff>2117</xdr:rowOff>
    </xdr:from>
    <xdr:to>
      <xdr:col>8</xdr:col>
      <xdr:colOff>213783</xdr:colOff>
      <xdr:row>4</xdr:row>
      <xdr:rowOff>2117</xdr:rowOff>
    </xdr:to>
    <xdr:cxnSp macro="">
      <xdr:nvCxnSpPr>
        <xdr:cNvPr id="8" name="Conector de seta reta 3">
          <a:extLst>
            <a:ext uri="{FF2B5EF4-FFF2-40B4-BE49-F238E27FC236}">
              <a16:creationId xmlns:a16="http://schemas.microsoft.com/office/drawing/2014/main" id="{F3955660-60ED-4768-BF91-AC897EA035B4}"/>
            </a:ext>
          </a:extLst>
        </xdr:cNvPr>
        <xdr:cNvCxnSpPr/>
      </xdr:nvCxnSpPr>
      <xdr:spPr>
        <a:xfrm>
          <a:off x="3007361" y="726017"/>
          <a:ext cx="201082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171979</xdr:colOff>
      <xdr:row>4</xdr:row>
      <xdr:rowOff>10583</xdr:rowOff>
    </xdr:from>
    <xdr:to>
      <xdr:col>12</xdr:col>
      <xdr:colOff>182562</xdr:colOff>
      <xdr:row>9</xdr:row>
      <xdr:rowOff>10583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8650B9FD-6A3F-4667-9B60-E5DFFB19235C}"/>
            </a:ext>
          </a:extLst>
        </xdr:cNvPr>
        <xdr:cNvCxnSpPr/>
      </xdr:nvCxnSpPr>
      <xdr:spPr>
        <a:xfrm>
          <a:off x="4767792" y="760677"/>
          <a:ext cx="10583" cy="91678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13761</xdr:colOff>
      <xdr:row>8</xdr:row>
      <xdr:rowOff>148693</xdr:rowOff>
    </xdr:from>
    <xdr:to>
      <xdr:col>5</xdr:col>
      <xdr:colOff>0</xdr:colOff>
      <xdr:row>8</xdr:row>
      <xdr:rowOff>154781</xdr:rowOff>
    </xdr:to>
    <xdr:cxnSp macro="">
      <xdr:nvCxnSpPr>
        <xdr:cNvPr id="14" name="Conector de seta reta 3">
          <a:extLst>
            <a:ext uri="{FF2B5EF4-FFF2-40B4-BE49-F238E27FC236}">
              <a16:creationId xmlns:a16="http://schemas.microsoft.com/office/drawing/2014/main" id="{81439170-2B5D-4695-BD25-1B66844FFA76}"/>
            </a:ext>
          </a:extLst>
        </xdr:cNvPr>
        <xdr:cNvCxnSpPr/>
      </xdr:nvCxnSpPr>
      <xdr:spPr>
        <a:xfrm>
          <a:off x="1466324" y="1636974"/>
          <a:ext cx="236270" cy="6088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302690</xdr:colOff>
      <xdr:row>8</xdr:row>
      <xdr:rowOff>166688</xdr:rowOff>
    </xdr:from>
    <xdr:to>
      <xdr:col>9</xdr:col>
      <xdr:colOff>35718</xdr:colOff>
      <xdr:row>8</xdr:row>
      <xdr:rowOff>168273</xdr:rowOff>
    </xdr:to>
    <xdr:cxnSp macro="">
      <xdr:nvCxnSpPr>
        <xdr:cNvPr id="19" name="Conector de seta reta 3">
          <a:extLst>
            <a:ext uri="{FF2B5EF4-FFF2-40B4-BE49-F238E27FC236}">
              <a16:creationId xmlns:a16="http://schemas.microsoft.com/office/drawing/2014/main" id="{623A3FA1-23B2-48CA-B743-F6BC02EEA3F3}"/>
            </a:ext>
          </a:extLst>
        </xdr:cNvPr>
        <xdr:cNvCxnSpPr/>
      </xdr:nvCxnSpPr>
      <xdr:spPr>
        <a:xfrm flipV="1">
          <a:off x="2993503" y="1654969"/>
          <a:ext cx="268809" cy="158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8209</xdr:colOff>
      <xdr:row>4</xdr:row>
      <xdr:rowOff>279</xdr:rowOff>
    </xdr:from>
    <xdr:to>
      <xdr:col>12</xdr:col>
      <xdr:colOff>202406</xdr:colOff>
      <xdr:row>4</xdr:row>
      <xdr:rowOff>23812</xdr:rowOff>
    </xdr:to>
    <xdr:cxnSp macro="">
      <xdr:nvCxnSpPr>
        <xdr:cNvPr id="16" name="Conector de seta reta 3">
          <a:extLst>
            <a:ext uri="{FF2B5EF4-FFF2-40B4-BE49-F238E27FC236}">
              <a16:creationId xmlns:a16="http://schemas.microsoft.com/office/drawing/2014/main" id="{06066927-1A72-4D17-8E8C-518EF0AD407C}"/>
            </a:ext>
          </a:extLst>
        </xdr:cNvPr>
        <xdr:cNvCxnSpPr/>
      </xdr:nvCxnSpPr>
      <xdr:spPr>
        <a:xfrm>
          <a:off x="4604022" y="750373"/>
          <a:ext cx="194197" cy="2353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351112</xdr:colOff>
      <xdr:row>8</xdr:row>
      <xdr:rowOff>152678</xdr:rowOff>
    </xdr:from>
    <xdr:to>
      <xdr:col>12</xdr:col>
      <xdr:colOff>176215</xdr:colOff>
      <xdr:row>8</xdr:row>
      <xdr:rowOff>176211</xdr:rowOff>
    </xdr:to>
    <xdr:cxnSp macro="">
      <xdr:nvCxnSpPr>
        <xdr:cNvPr id="21" name="Conector de seta reta 3">
          <a:extLst>
            <a:ext uri="{FF2B5EF4-FFF2-40B4-BE49-F238E27FC236}">
              <a16:creationId xmlns:a16="http://schemas.microsoft.com/office/drawing/2014/main" id="{291CA57A-2CCE-41CD-B93E-9442829DF97F}"/>
            </a:ext>
          </a:extLst>
        </xdr:cNvPr>
        <xdr:cNvCxnSpPr/>
      </xdr:nvCxnSpPr>
      <xdr:spPr>
        <a:xfrm>
          <a:off x="4577831" y="1640959"/>
          <a:ext cx="194197" cy="2353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niversi\Paula_Souza\Fatec\ADS\Avaliacoes\999_GestaoProjADS_FatecZSul_Giordano_AtividadeP1_2S2023_N_Sa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"/>
      <sheetName val="Q1"/>
      <sheetName val="Q2"/>
      <sheetName val="Q3"/>
      <sheetName val="Q4"/>
      <sheetName val="Q5"/>
    </sheetNames>
    <sheetDataSet>
      <sheetData sheetId="0">
        <row r="1">
          <cell r="B1" t="str">
            <v>Preencher o nome e RA na Planilha Id, células C9 e C10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1:F18"/>
  <sheetViews>
    <sheetView tabSelected="1" zoomScaleNormal="100" workbookViewId="0">
      <selection activeCell="E16" sqref="E16"/>
    </sheetView>
  </sheetViews>
  <sheetFormatPr defaultRowHeight="14.25" x14ac:dyDescent="0.2"/>
  <cols>
    <col min="1" max="1" width="3.109375" customWidth="1"/>
    <col min="3" max="3" width="46" customWidth="1"/>
  </cols>
  <sheetData>
    <row r="1" spans="2:6" x14ac:dyDescent="0.2">
      <c r="B1" s="51" t="s">
        <v>0</v>
      </c>
      <c r="C1" s="51"/>
      <c r="D1" s="51"/>
      <c r="E1" s="8" t="s">
        <v>1</v>
      </c>
      <c r="F1" s="8">
        <f>'Q1'!H1+'Q2'!G1+'Q3'!G1+'Q4'!H1+'Q5'!E1</f>
        <v>10.5</v>
      </c>
    </row>
    <row r="2" spans="2:6" x14ac:dyDescent="0.2">
      <c r="B2" s="6"/>
      <c r="C2" s="6"/>
      <c r="D2" s="6"/>
      <c r="E2" s="6"/>
      <c r="F2" s="6"/>
    </row>
    <row r="3" spans="2:6" x14ac:dyDescent="0.2">
      <c r="B3" t="s">
        <v>2</v>
      </c>
    </row>
    <row r="4" spans="2:6" x14ac:dyDescent="0.2">
      <c r="B4" t="s">
        <v>3</v>
      </c>
    </row>
    <row r="5" spans="2:6" x14ac:dyDescent="0.2">
      <c r="B5" t="s">
        <v>4</v>
      </c>
    </row>
    <row r="6" spans="2:6" x14ac:dyDescent="0.2">
      <c r="B6" t="s">
        <v>5</v>
      </c>
    </row>
    <row r="7" spans="2:6" x14ac:dyDescent="0.2">
      <c r="B7" t="s">
        <v>6</v>
      </c>
    </row>
    <row r="9" spans="2:6" x14ac:dyDescent="0.2">
      <c r="B9" s="1" t="s">
        <v>7</v>
      </c>
      <c r="C9" s="2" t="s">
        <v>96</v>
      </c>
    </row>
    <row r="10" spans="2:6" x14ac:dyDescent="0.2">
      <c r="B10" s="1" t="s">
        <v>8</v>
      </c>
      <c r="C10" s="65" t="s">
        <v>97</v>
      </c>
    </row>
    <row r="12" spans="2:6" x14ac:dyDescent="0.2">
      <c r="B12" s="3" t="s">
        <v>9</v>
      </c>
      <c r="C12" s="3"/>
    </row>
    <row r="13" spans="2:6" x14ac:dyDescent="0.2">
      <c r="B13" s="3" t="s">
        <v>10</v>
      </c>
      <c r="C13" s="3"/>
    </row>
    <row r="14" spans="2:6" x14ac:dyDescent="0.2">
      <c r="B14" s="3" t="s">
        <v>11</v>
      </c>
      <c r="C14" s="3"/>
    </row>
    <row r="17" spans="2:2" x14ac:dyDescent="0.2">
      <c r="B17" s="4" t="s">
        <v>12</v>
      </c>
    </row>
    <row r="18" spans="2:2" x14ac:dyDescent="0.2">
      <c r="B18" s="4" t="s">
        <v>13</v>
      </c>
    </row>
  </sheetData>
  <mergeCells count="1">
    <mergeCell ref="B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ignoredErrors>
    <ignoredError sqref="C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B1:R14"/>
  <sheetViews>
    <sheetView zoomScaleNormal="100" workbookViewId="0">
      <selection activeCell="G10" sqref="G10:O10"/>
    </sheetView>
  </sheetViews>
  <sheetFormatPr defaultRowHeight="14.25" x14ac:dyDescent="0.2"/>
  <cols>
    <col min="1" max="1" width="3.6640625" customWidth="1"/>
    <col min="2" max="2" width="79.33203125" bestFit="1" customWidth="1"/>
    <col min="3" max="3" width="3.21875" customWidth="1"/>
    <col min="4" max="5" width="8.77734375" hidden="1" customWidth="1"/>
    <col min="6" max="6" width="11.5546875" hidden="1" customWidth="1"/>
  </cols>
  <sheetData>
    <row r="1" spans="2:18" x14ac:dyDescent="0.2">
      <c r="B1" s="46" t="str">
        <f>Id!B1</f>
        <v>Preencher o nome e RA na Planilha Id, células C9 e C10</v>
      </c>
      <c r="D1" s="46"/>
      <c r="E1" s="46"/>
      <c r="F1" s="46"/>
      <c r="G1" s="8" t="s">
        <v>1</v>
      </c>
      <c r="H1" s="8">
        <v>0.75</v>
      </c>
    </row>
    <row r="3" spans="2:18" x14ac:dyDescent="0.2">
      <c r="B3" s="43" t="s">
        <v>14</v>
      </c>
    </row>
    <row r="4" spans="2:18" x14ac:dyDescent="0.2">
      <c r="B4" s="48"/>
      <c r="C4" s="5"/>
      <c r="D4" s="5"/>
      <c r="E4" s="5"/>
      <c r="F4" s="5"/>
      <c r="G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2:18" x14ac:dyDescent="0.2">
      <c r="B5" s="43" t="s">
        <v>15</v>
      </c>
      <c r="G5" s="69" t="s">
        <v>98</v>
      </c>
      <c r="H5" s="69"/>
      <c r="I5" s="69"/>
      <c r="J5" s="69"/>
      <c r="K5" s="69"/>
      <c r="L5" s="69"/>
      <c r="M5" s="69"/>
      <c r="N5" s="69"/>
      <c r="O5" s="69"/>
    </row>
    <row r="6" spans="2:18" x14ac:dyDescent="0.2">
      <c r="B6" s="43" t="s">
        <v>16</v>
      </c>
      <c r="G6" s="69" t="s">
        <v>99</v>
      </c>
      <c r="H6" s="69"/>
      <c r="I6" s="69"/>
      <c r="J6" s="69"/>
      <c r="K6" s="69"/>
      <c r="L6" s="69"/>
      <c r="M6" s="69"/>
      <c r="N6" s="69"/>
      <c r="O6" s="69"/>
    </row>
    <row r="7" spans="2:18" x14ac:dyDescent="0.2">
      <c r="B7" s="43" t="s">
        <v>17</v>
      </c>
      <c r="G7" s="69" t="s">
        <v>100</v>
      </c>
      <c r="H7" s="69"/>
      <c r="I7" s="69"/>
      <c r="J7" s="69"/>
      <c r="K7" s="69"/>
      <c r="L7" s="69"/>
      <c r="M7" s="69"/>
      <c r="N7" s="69"/>
      <c r="O7" s="69"/>
    </row>
    <row r="8" spans="2:18" x14ac:dyDescent="0.2">
      <c r="B8" s="42" t="s">
        <v>18</v>
      </c>
      <c r="G8" s="69" t="s">
        <v>101</v>
      </c>
      <c r="H8" s="69"/>
      <c r="I8" s="69"/>
      <c r="J8" s="69"/>
      <c r="K8" s="69"/>
      <c r="L8" s="69"/>
      <c r="M8" s="69"/>
      <c r="N8" s="69"/>
      <c r="O8" s="69"/>
    </row>
    <row r="9" spans="2:18" ht="13.5" customHeight="1" x14ac:dyDescent="0.2">
      <c r="B9" s="42" t="s">
        <v>19</v>
      </c>
      <c r="G9" s="68" t="s">
        <v>102</v>
      </c>
      <c r="H9" s="68"/>
      <c r="I9" s="68"/>
      <c r="J9" s="68"/>
      <c r="K9" s="68"/>
      <c r="L9" s="68"/>
      <c r="M9" s="68"/>
      <c r="N9" s="68"/>
      <c r="O9" s="68"/>
    </row>
    <row r="10" spans="2:18" x14ac:dyDescent="0.2">
      <c r="B10" s="42" t="s">
        <v>20</v>
      </c>
      <c r="G10" s="69" t="s">
        <v>103</v>
      </c>
      <c r="H10" s="69"/>
      <c r="I10" s="69"/>
      <c r="J10" s="69"/>
      <c r="K10" s="69"/>
      <c r="L10" s="69"/>
      <c r="M10" s="69"/>
      <c r="N10" s="69"/>
      <c r="O10" s="69"/>
    </row>
    <row r="11" spans="2:18" x14ac:dyDescent="0.2">
      <c r="B11" s="42" t="s">
        <v>21</v>
      </c>
      <c r="G11" s="69" t="s">
        <v>104</v>
      </c>
      <c r="H11" s="69"/>
      <c r="I11" s="69"/>
      <c r="J11" s="69"/>
      <c r="K11" s="69"/>
      <c r="L11" s="69"/>
      <c r="M11" s="69"/>
      <c r="N11" s="69"/>
      <c r="O11" s="69"/>
    </row>
    <row r="12" spans="2:18" x14ac:dyDescent="0.2">
      <c r="B12" s="42" t="s">
        <v>22</v>
      </c>
      <c r="G12" s="69" t="s">
        <v>105</v>
      </c>
      <c r="H12" s="69"/>
      <c r="I12" s="69"/>
      <c r="J12" s="69"/>
      <c r="K12" s="69"/>
      <c r="L12" s="69"/>
      <c r="M12" s="69"/>
      <c r="N12" s="69"/>
      <c r="O12" s="69"/>
    </row>
    <row r="14" spans="2:18" x14ac:dyDescent="0.2">
      <c r="B14" s="42" t="s">
        <v>23</v>
      </c>
    </row>
  </sheetData>
  <mergeCells count="8">
    <mergeCell ref="G11:O11"/>
    <mergeCell ref="G12:O12"/>
    <mergeCell ref="G9:O9"/>
    <mergeCell ref="G8:O8"/>
    <mergeCell ref="G7:O7"/>
    <mergeCell ref="G6:O6"/>
    <mergeCell ref="G5:O5"/>
    <mergeCell ref="G10:O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B1:Q14"/>
  <sheetViews>
    <sheetView zoomScaleNormal="100" workbookViewId="0">
      <selection activeCell="B20" sqref="B20"/>
    </sheetView>
  </sheetViews>
  <sheetFormatPr defaultRowHeight="14.25" x14ac:dyDescent="0.2"/>
  <cols>
    <col min="1" max="1" width="3.6640625" customWidth="1"/>
    <col min="2" max="2" width="73.5546875" bestFit="1" customWidth="1"/>
    <col min="3" max="3" width="2.44140625" customWidth="1"/>
    <col min="4" max="4" width="8.77734375" hidden="1" customWidth="1"/>
    <col min="5" max="5" width="11.5546875" hidden="1" customWidth="1"/>
  </cols>
  <sheetData>
    <row r="1" spans="2:17" x14ac:dyDescent="0.2">
      <c r="B1" s="46" t="str">
        <f>Id!B1</f>
        <v>Preencher o nome e RA na Planilha Id, células C9 e C10</v>
      </c>
      <c r="D1" s="46"/>
      <c r="E1" s="46"/>
      <c r="F1" s="8" t="s">
        <v>1</v>
      </c>
      <c r="G1" s="8">
        <v>0.75</v>
      </c>
    </row>
    <row r="3" spans="2:17" x14ac:dyDescent="0.2">
      <c r="B3" s="43" t="s">
        <v>24</v>
      </c>
    </row>
    <row r="4" spans="2:17" x14ac:dyDescent="0.2">
      <c r="B4" s="48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2:17" x14ac:dyDescent="0.2">
      <c r="B5" s="43" t="s">
        <v>106</v>
      </c>
      <c r="F5" s="69" t="s">
        <v>114</v>
      </c>
      <c r="G5" s="69"/>
      <c r="H5" s="69"/>
      <c r="I5" s="69"/>
      <c r="J5" s="69"/>
      <c r="K5" s="69"/>
      <c r="L5" s="69"/>
      <c r="M5" s="69"/>
      <c r="N5" s="69"/>
      <c r="O5" s="69"/>
      <c r="P5" s="69"/>
    </row>
    <row r="6" spans="2:17" x14ac:dyDescent="0.2">
      <c r="B6" s="43" t="s">
        <v>107</v>
      </c>
      <c r="F6" s="69" t="s">
        <v>115</v>
      </c>
      <c r="G6" s="69"/>
      <c r="H6" s="69"/>
      <c r="I6" s="69"/>
      <c r="J6" s="69"/>
      <c r="K6" s="69"/>
      <c r="L6" s="69"/>
      <c r="M6" s="69"/>
      <c r="N6" s="69"/>
      <c r="O6" s="69"/>
      <c r="P6" s="69"/>
    </row>
    <row r="7" spans="2:17" x14ac:dyDescent="0.2">
      <c r="B7" s="43" t="s">
        <v>108</v>
      </c>
      <c r="F7" s="69" t="s">
        <v>116</v>
      </c>
      <c r="G7" s="69"/>
      <c r="H7" s="69"/>
      <c r="I7" s="69"/>
      <c r="J7" s="69"/>
      <c r="K7" s="69"/>
      <c r="L7" s="69"/>
      <c r="M7" s="69"/>
      <c r="N7" s="69"/>
      <c r="O7" s="69"/>
      <c r="P7" s="69"/>
    </row>
    <row r="8" spans="2:17" x14ac:dyDescent="0.2">
      <c r="B8" s="45" t="s">
        <v>109</v>
      </c>
      <c r="F8" s="69" t="s">
        <v>117</v>
      </c>
      <c r="G8" s="69"/>
      <c r="H8" s="69"/>
      <c r="I8" s="69"/>
      <c r="J8" s="69"/>
      <c r="K8" s="69"/>
      <c r="L8" s="69"/>
      <c r="M8" s="69"/>
      <c r="N8" s="69"/>
      <c r="O8" s="69"/>
      <c r="P8" s="69"/>
    </row>
    <row r="9" spans="2:17" x14ac:dyDescent="0.2">
      <c r="B9" s="45" t="s">
        <v>110</v>
      </c>
      <c r="F9" s="69" t="s">
        <v>118</v>
      </c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2:17" x14ac:dyDescent="0.2">
      <c r="B10" s="45" t="s">
        <v>111</v>
      </c>
      <c r="F10" s="69" t="s">
        <v>119</v>
      </c>
      <c r="G10" s="69"/>
      <c r="H10" s="69"/>
      <c r="I10" s="69"/>
      <c r="J10" s="69"/>
      <c r="K10" s="69"/>
      <c r="L10" s="69"/>
      <c r="M10" s="69"/>
      <c r="N10" s="69"/>
      <c r="O10" s="69"/>
      <c r="P10" s="69"/>
    </row>
    <row r="11" spans="2:17" x14ac:dyDescent="0.2">
      <c r="B11" s="45" t="s">
        <v>112</v>
      </c>
      <c r="F11" s="66"/>
      <c r="G11" s="66"/>
      <c r="H11" s="66"/>
      <c r="I11" s="66"/>
      <c r="J11" s="66"/>
      <c r="K11" s="66"/>
      <c r="L11" s="66"/>
    </row>
    <row r="12" spans="2:17" x14ac:dyDescent="0.2">
      <c r="B12" s="45" t="s">
        <v>113</v>
      </c>
      <c r="F12" s="66"/>
      <c r="G12" s="66"/>
      <c r="H12" s="66"/>
      <c r="I12" s="66"/>
      <c r="J12" s="66"/>
      <c r="K12" s="66"/>
      <c r="L12" s="66"/>
    </row>
    <row r="13" spans="2:17" x14ac:dyDescent="0.2">
      <c r="F13" s="66"/>
      <c r="G13" s="66"/>
      <c r="H13" s="66"/>
      <c r="I13" s="66"/>
      <c r="J13" s="66"/>
      <c r="K13" s="66"/>
      <c r="L13" s="66"/>
    </row>
    <row r="14" spans="2:17" x14ac:dyDescent="0.2">
      <c r="B14" s="42" t="s">
        <v>25</v>
      </c>
    </row>
  </sheetData>
  <mergeCells count="6">
    <mergeCell ref="F10:P10"/>
    <mergeCell ref="F9:P9"/>
    <mergeCell ref="F8:P8"/>
    <mergeCell ref="F7:P7"/>
    <mergeCell ref="F6:P6"/>
    <mergeCell ref="F5:P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7"/>
  <sheetViews>
    <sheetView workbookViewId="0">
      <selection activeCell="F32" sqref="F32"/>
    </sheetView>
  </sheetViews>
  <sheetFormatPr defaultRowHeight="14.25" x14ac:dyDescent="0.2"/>
  <cols>
    <col min="1" max="1" width="2.6640625" customWidth="1"/>
    <col min="2" max="2" width="83.5546875" customWidth="1"/>
    <col min="3" max="3" width="2.33203125" customWidth="1"/>
    <col min="4" max="5" width="8.77734375" hidden="1" customWidth="1"/>
  </cols>
  <sheetData>
    <row r="1" spans="2:15" x14ac:dyDescent="0.2">
      <c r="B1" s="41" t="str">
        <f>Id!B1</f>
        <v>Preencher o nome e RA na Planilha Id, células C9 e C10</v>
      </c>
      <c r="D1" s="46"/>
      <c r="E1" s="46"/>
      <c r="F1" s="8" t="s">
        <v>1</v>
      </c>
      <c r="G1" s="9">
        <v>2</v>
      </c>
    </row>
    <row r="2" spans="2:15" x14ac:dyDescent="0.2">
      <c r="B2" s="6"/>
      <c r="C2" s="6"/>
      <c r="D2" s="6"/>
      <c r="E2" s="6"/>
      <c r="F2" s="6"/>
      <c r="G2" s="44"/>
    </row>
    <row r="3" spans="2:15" x14ac:dyDescent="0.2">
      <c r="B3" s="45" t="s">
        <v>26</v>
      </c>
    </row>
    <row r="4" spans="2:15" ht="25.5" x14ac:dyDescent="0.2">
      <c r="B4" s="42" t="s">
        <v>27</v>
      </c>
    </row>
    <row r="5" spans="2:15" ht="25.5" x14ac:dyDescent="0.2">
      <c r="B5" s="42" t="s">
        <v>28</v>
      </c>
    </row>
    <row r="6" spans="2:15" ht="25.5" x14ac:dyDescent="0.2">
      <c r="B6" s="42" t="s">
        <v>29</v>
      </c>
    </row>
    <row r="7" spans="2:15" x14ac:dyDescent="0.2">
      <c r="B7" s="42" t="s">
        <v>30</v>
      </c>
      <c r="C7" t="s">
        <v>139</v>
      </c>
      <c r="F7" s="72"/>
      <c r="G7" s="7" t="s">
        <v>120</v>
      </c>
      <c r="H7" s="7" t="s">
        <v>121</v>
      </c>
      <c r="I7" s="7" t="s">
        <v>122</v>
      </c>
      <c r="J7" s="7" t="s">
        <v>123</v>
      </c>
    </row>
    <row r="8" spans="2:15" x14ac:dyDescent="0.2">
      <c r="B8" s="42"/>
      <c r="F8" s="36" t="s">
        <v>124</v>
      </c>
      <c r="G8" s="105">
        <v>110</v>
      </c>
      <c r="H8" s="105">
        <v>130</v>
      </c>
      <c r="I8" s="104">
        <v>150</v>
      </c>
      <c r="J8" s="104">
        <v>120</v>
      </c>
      <c r="K8" s="70"/>
      <c r="L8" s="70"/>
      <c r="M8" s="70"/>
      <c r="N8" s="70"/>
      <c r="O8" s="70"/>
    </row>
    <row r="9" spans="2:15" x14ac:dyDescent="0.2">
      <c r="B9" s="43" t="s">
        <v>31</v>
      </c>
      <c r="F9" s="36" t="s">
        <v>125</v>
      </c>
      <c r="G9" s="105">
        <v>100</v>
      </c>
      <c r="H9" s="105">
        <v>130</v>
      </c>
      <c r="I9" s="104">
        <v>100</v>
      </c>
      <c r="J9" s="104">
        <v>150</v>
      </c>
      <c r="K9" s="70"/>
      <c r="L9" s="70"/>
      <c r="M9" s="70"/>
      <c r="N9" s="70"/>
      <c r="O9" s="70"/>
    </row>
    <row r="10" spans="2:15" x14ac:dyDescent="0.2">
      <c r="F10" s="36" t="s">
        <v>126</v>
      </c>
      <c r="G10" s="105">
        <v>100</v>
      </c>
      <c r="H10" s="105">
        <v>120</v>
      </c>
      <c r="I10" s="104">
        <v>120</v>
      </c>
      <c r="J10" s="104">
        <v>130</v>
      </c>
      <c r="K10" s="70"/>
      <c r="L10" s="70"/>
      <c r="M10" s="70"/>
      <c r="N10" s="70"/>
      <c r="O10" s="70"/>
    </row>
    <row r="11" spans="2:15" x14ac:dyDescent="0.2">
      <c r="F11" s="36" t="s">
        <v>133</v>
      </c>
      <c r="G11" s="105">
        <v>12350</v>
      </c>
      <c r="H11" s="105">
        <v>12350</v>
      </c>
      <c r="I11" s="105">
        <v>12350</v>
      </c>
      <c r="J11" s="105">
        <v>12350</v>
      </c>
      <c r="K11" s="70"/>
      <c r="L11" s="70"/>
      <c r="M11" s="70"/>
      <c r="N11" s="70"/>
      <c r="O11" s="70"/>
    </row>
    <row r="12" spans="2:15" x14ac:dyDescent="0.2">
      <c r="F12" s="36" t="s">
        <v>127</v>
      </c>
      <c r="G12" s="71">
        <f>G9-G10</f>
        <v>0</v>
      </c>
      <c r="H12" s="71">
        <f>H9-H10</f>
        <v>10</v>
      </c>
      <c r="I12" s="71">
        <f t="shared" ref="H12:J12" si="0">I9-I10</f>
        <v>-20</v>
      </c>
      <c r="J12" s="71">
        <f t="shared" si="0"/>
        <v>20</v>
      </c>
    </row>
    <row r="13" spans="2:15" x14ac:dyDescent="0.2">
      <c r="F13" s="36" t="s">
        <v>128</v>
      </c>
      <c r="G13" s="103">
        <f>G9/G10</f>
        <v>1</v>
      </c>
      <c r="H13" s="103">
        <f t="shared" ref="H13:J13" si="1">H9/H10</f>
        <v>1.0833333333333333</v>
      </c>
      <c r="I13" s="103">
        <f t="shared" si="1"/>
        <v>0.83333333333333337</v>
      </c>
      <c r="J13" s="103">
        <f t="shared" si="1"/>
        <v>1.1538461538461537</v>
      </c>
    </row>
    <row r="14" spans="2:15" x14ac:dyDescent="0.2">
      <c r="F14" s="36" t="s">
        <v>129</v>
      </c>
      <c r="G14" s="71">
        <f>G9-G8</f>
        <v>-10</v>
      </c>
      <c r="H14" s="71">
        <f t="shared" ref="H14:J14" si="2">H9-H8</f>
        <v>0</v>
      </c>
      <c r="I14" s="71">
        <f t="shared" si="2"/>
        <v>-50</v>
      </c>
      <c r="J14" s="71">
        <f t="shared" si="2"/>
        <v>30</v>
      </c>
    </row>
    <row r="15" spans="2:15" x14ac:dyDescent="0.2">
      <c r="F15" s="36" t="s">
        <v>130</v>
      </c>
      <c r="G15" s="103">
        <f>G9/G8</f>
        <v>0.90909090909090906</v>
      </c>
      <c r="H15" s="103">
        <f t="shared" ref="H15:J15" si="3">H9/H8</f>
        <v>1</v>
      </c>
      <c r="I15" s="103">
        <f t="shared" si="3"/>
        <v>0.66666666666666663</v>
      </c>
      <c r="J15" s="103">
        <f t="shared" si="3"/>
        <v>1.25</v>
      </c>
    </row>
    <row r="16" spans="2:15" x14ac:dyDescent="0.2">
      <c r="F16" s="36" t="s">
        <v>131</v>
      </c>
      <c r="G16" s="104">
        <f>G11/G13</f>
        <v>12350</v>
      </c>
      <c r="H16" s="104">
        <f t="shared" ref="H16:J16" si="4">H11/H13</f>
        <v>11400</v>
      </c>
      <c r="I16" s="104">
        <f t="shared" si="4"/>
        <v>14820</v>
      </c>
      <c r="J16" s="104">
        <f t="shared" si="4"/>
        <v>10703.333333333334</v>
      </c>
    </row>
    <row r="17" spans="3:17" x14ac:dyDescent="0.2">
      <c r="F17" s="36" t="s">
        <v>134</v>
      </c>
      <c r="G17" s="104">
        <f>G16-G10</f>
        <v>12250</v>
      </c>
      <c r="H17" s="104">
        <f t="shared" ref="H17:J17" si="5">H16-H10</f>
        <v>11280</v>
      </c>
      <c r="I17" s="104">
        <f t="shared" si="5"/>
        <v>14700</v>
      </c>
      <c r="J17" s="104">
        <f t="shared" si="5"/>
        <v>10573.333333333334</v>
      </c>
    </row>
    <row r="18" spans="3:17" x14ac:dyDescent="0.2">
      <c r="F18" s="36" t="s">
        <v>132</v>
      </c>
      <c r="G18" s="104">
        <f>G11-G16</f>
        <v>0</v>
      </c>
      <c r="H18" s="104">
        <f t="shared" ref="H18:J18" si="6">H11-H16</f>
        <v>950</v>
      </c>
      <c r="I18" s="104">
        <f t="shared" si="6"/>
        <v>-2470</v>
      </c>
      <c r="J18" s="104">
        <f t="shared" si="6"/>
        <v>1646.6666666666661</v>
      </c>
    </row>
    <row r="20" spans="3:17" x14ac:dyDescent="0.2">
      <c r="C20" t="s">
        <v>140</v>
      </c>
      <c r="F20" s="66" t="s">
        <v>138</v>
      </c>
      <c r="G20" s="66"/>
      <c r="H20" s="66"/>
      <c r="I20" s="66"/>
      <c r="J20" s="66"/>
      <c r="K20" s="66"/>
      <c r="L20" s="66"/>
    </row>
    <row r="21" spans="3:17" x14ac:dyDescent="0.2">
      <c r="F21" s="66" t="s">
        <v>135</v>
      </c>
      <c r="G21" s="66"/>
      <c r="H21" s="66"/>
      <c r="I21" s="66"/>
      <c r="J21" s="66"/>
      <c r="K21" s="66"/>
      <c r="L21" s="66"/>
    </row>
    <row r="22" spans="3:17" x14ac:dyDescent="0.2">
      <c r="F22" s="66" t="s">
        <v>136</v>
      </c>
      <c r="G22" s="66"/>
      <c r="H22" s="66"/>
      <c r="I22" s="66"/>
      <c r="J22" s="66"/>
      <c r="K22" s="66"/>
      <c r="L22" s="66"/>
    </row>
    <row r="23" spans="3:17" x14ac:dyDescent="0.2">
      <c r="F23" s="66" t="s">
        <v>137</v>
      </c>
      <c r="H23" s="66"/>
      <c r="I23" s="66"/>
      <c r="J23" s="66"/>
      <c r="K23" s="66"/>
      <c r="L23" s="66"/>
    </row>
    <row r="24" spans="3:17" x14ac:dyDescent="0.2">
      <c r="G24" s="66"/>
      <c r="H24" s="66"/>
      <c r="I24" s="66"/>
      <c r="J24" s="66"/>
      <c r="K24" s="66"/>
      <c r="L24" s="66"/>
    </row>
    <row r="25" spans="3:17" x14ac:dyDescent="0.2">
      <c r="C25" t="s">
        <v>141</v>
      </c>
      <c r="F25" s="66" t="s">
        <v>147</v>
      </c>
      <c r="G25" s="66"/>
      <c r="H25" s="66"/>
      <c r="I25" s="66"/>
      <c r="J25" s="66"/>
      <c r="K25" s="66"/>
      <c r="L25" s="66"/>
    </row>
    <row r="26" spans="3:17" x14ac:dyDescent="0.2">
      <c r="F26" s="66" t="s">
        <v>148</v>
      </c>
      <c r="G26" s="66"/>
      <c r="H26" s="66"/>
      <c r="I26" s="66"/>
      <c r="J26" s="66"/>
      <c r="K26" s="66"/>
      <c r="L26" s="66"/>
    </row>
    <row r="27" spans="3:17" x14ac:dyDescent="0.2">
      <c r="F27" s="66" t="s">
        <v>149</v>
      </c>
      <c r="G27" s="66"/>
      <c r="H27" s="66"/>
      <c r="I27" s="66"/>
      <c r="J27" s="66"/>
      <c r="K27" s="66"/>
      <c r="L27" s="66"/>
    </row>
    <row r="28" spans="3:17" x14ac:dyDescent="0.2">
      <c r="F28" s="66" t="s">
        <v>150</v>
      </c>
      <c r="G28" s="66"/>
      <c r="H28" s="66"/>
      <c r="I28" s="66"/>
      <c r="J28" s="66"/>
      <c r="K28" s="66"/>
      <c r="L28" s="66"/>
    </row>
    <row r="30" spans="3:17" x14ac:dyDescent="0.2">
      <c r="C30" t="s">
        <v>142</v>
      </c>
      <c r="F30" s="66" t="s">
        <v>144</v>
      </c>
    </row>
    <row r="31" spans="3:17" x14ac:dyDescent="0.2">
      <c r="F31" s="69" t="s">
        <v>151</v>
      </c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</row>
    <row r="32" spans="3:17" x14ac:dyDescent="0.2">
      <c r="F32" s="66" t="s">
        <v>145</v>
      </c>
    </row>
    <row r="33" spans="6:6" x14ac:dyDescent="0.2">
      <c r="F33" s="66" t="s">
        <v>143</v>
      </c>
    </row>
    <row r="34" spans="6:6" x14ac:dyDescent="0.2">
      <c r="F34" s="66" t="s">
        <v>146</v>
      </c>
    </row>
    <row r="35" spans="6:6" x14ac:dyDescent="0.2">
      <c r="F35" s="66"/>
    </row>
    <row r="37" spans="6:6" x14ac:dyDescent="0.2">
      <c r="F37" s="66"/>
    </row>
  </sheetData>
  <mergeCells count="1">
    <mergeCell ref="F31:Q3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6"/>
  <dimension ref="B1:AC32"/>
  <sheetViews>
    <sheetView topLeftCell="A6" zoomScale="80" zoomScaleNormal="80" workbookViewId="0">
      <selection activeCell="V27" sqref="V27"/>
    </sheetView>
  </sheetViews>
  <sheetFormatPr defaultRowHeight="14.25" x14ac:dyDescent="0.2"/>
  <cols>
    <col min="1" max="1" width="2.88671875" customWidth="1"/>
    <col min="2" max="2" width="3.5546875" customWidth="1"/>
    <col min="3" max="3" width="6.88671875" customWidth="1"/>
    <col min="4" max="4" width="4" customWidth="1"/>
    <col min="5" max="5" width="1.88671875" customWidth="1"/>
    <col min="6" max="6" width="3.6640625" customWidth="1"/>
    <col min="8" max="8" width="3.6640625" bestFit="1" customWidth="1"/>
    <col min="9" max="9" width="2.6640625" customWidth="1"/>
    <col min="10" max="10" width="4.21875" customWidth="1"/>
    <col min="11" max="11" width="8.5546875" customWidth="1"/>
    <col min="12" max="12" width="7.21875" customWidth="1"/>
    <col min="13" max="13" width="4" customWidth="1"/>
    <col min="14" max="14" width="3.109375" customWidth="1"/>
    <col min="15" max="15" width="6.33203125" bestFit="1" customWidth="1"/>
    <col min="16" max="16" width="10.5546875" bestFit="1" customWidth="1"/>
    <col min="17" max="17" width="12.5546875" customWidth="1"/>
    <col min="18" max="18" width="16.21875" customWidth="1"/>
    <col min="19" max="19" width="14" bestFit="1" customWidth="1"/>
    <col min="20" max="20" width="3.5546875" customWidth="1"/>
    <col min="21" max="21" width="2.88671875" customWidth="1"/>
    <col min="22" max="22" width="11.109375" bestFit="1" customWidth="1"/>
    <col min="23" max="23" width="16.6640625" bestFit="1" customWidth="1"/>
    <col min="24" max="24" width="15.5546875" bestFit="1" customWidth="1"/>
    <col min="25" max="25" width="11.88671875" bestFit="1" customWidth="1"/>
    <col min="26" max="26" width="9.88671875" bestFit="1" customWidth="1"/>
    <col min="27" max="27" width="2.88671875" customWidth="1"/>
    <col min="28" max="28" width="11.109375" bestFit="1" customWidth="1"/>
  </cols>
  <sheetData>
    <row r="1" spans="2:28" x14ac:dyDescent="0.2">
      <c r="G1" s="8" t="s">
        <v>1</v>
      </c>
      <c r="H1" s="9">
        <v>3</v>
      </c>
      <c r="N1" s="51" t="str">
        <f>[1]Id!B1</f>
        <v>Preencher o nome e RA na Planilha Id, células C9 e C10</v>
      </c>
      <c r="O1" s="51"/>
      <c r="P1" s="51"/>
      <c r="Q1" s="51"/>
      <c r="R1" s="51"/>
      <c r="S1" s="51"/>
      <c r="T1" s="51"/>
      <c r="U1" s="51"/>
      <c r="V1" s="51"/>
    </row>
    <row r="2" spans="2:28" ht="15" thickBot="1" x14ac:dyDescent="0.25"/>
    <row r="3" spans="2:28" ht="15" thickBot="1" x14ac:dyDescent="0.25">
      <c r="B3" s="79">
        <v>0</v>
      </c>
      <c r="C3" s="80" t="str">
        <f>"1-"&amp;D6</f>
        <v>1-3</v>
      </c>
      <c r="D3" s="81">
        <f>B3+D6</f>
        <v>3</v>
      </c>
      <c r="E3" s="99"/>
      <c r="F3" s="81">
        <f>D3</f>
        <v>3</v>
      </c>
      <c r="G3" s="79" t="str">
        <f>F3+1&amp;"-"&amp;H3</f>
        <v>4-5,5</v>
      </c>
      <c r="H3" s="81">
        <f>F3+H6</f>
        <v>5.5</v>
      </c>
      <c r="I3" s="99"/>
      <c r="J3" s="79">
        <f>H3</f>
        <v>5.5</v>
      </c>
      <c r="K3" s="79" t="str">
        <f>J3+1&amp;"-"&amp;L3</f>
        <v>6,5-7</v>
      </c>
      <c r="L3" s="79">
        <f>J3+L6</f>
        <v>7</v>
      </c>
      <c r="O3" s="60" t="s">
        <v>32</v>
      </c>
      <c r="P3" s="61"/>
      <c r="Q3" s="61"/>
      <c r="R3" s="61"/>
      <c r="S3" s="62"/>
      <c r="V3" s="13" t="s">
        <v>33</v>
      </c>
      <c r="W3" s="13" t="s">
        <v>34</v>
      </c>
      <c r="X3" s="13" t="s">
        <v>35</v>
      </c>
      <c r="Y3" s="13" t="s">
        <v>36</v>
      </c>
      <c r="Z3" s="13" t="s">
        <v>37</v>
      </c>
      <c r="AB3" s="13" t="s">
        <v>38</v>
      </c>
    </row>
    <row r="4" spans="2:28" ht="15" thickBot="1" x14ac:dyDescent="0.25">
      <c r="B4" s="82" t="s">
        <v>39</v>
      </c>
      <c r="C4" s="83"/>
      <c r="D4" s="84"/>
      <c r="E4" s="99"/>
      <c r="F4" s="82" t="s">
        <v>40</v>
      </c>
      <c r="G4" s="83"/>
      <c r="H4" s="84"/>
      <c r="I4" s="99"/>
      <c r="J4" s="82" t="s">
        <v>41</v>
      </c>
      <c r="K4" s="83"/>
      <c r="L4" s="84"/>
      <c r="O4" s="37" t="s">
        <v>42</v>
      </c>
      <c r="P4" s="38" t="s">
        <v>43</v>
      </c>
      <c r="Q4" s="38" t="s">
        <v>44</v>
      </c>
      <c r="R4" s="38" t="s">
        <v>45</v>
      </c>
      <c r="S4" s="39" t="s">
        <v>46</v>
      </c>
      <c r="V4" s="13" t="s">
        <v>47</v>
      </c>
      <c r="W4" s="13">
        <v>2</v>
      </c>
      <c r="X4" s="20">
        <v>1.5</v>
      </c>
      <c r="Y4" s="21">
        <v>50</v>
      </c>
      <c r="Z4" s="22" t="s">
        <v>48</v>
      </c>
      <c r="AB4" s="22">
        <v>50</v>
      </c>
    </row>
    <row r="5" spans="2:28" x14ac:dyDescent="0.2">
      <c r="B5" s="85"/>
      <c r="C5" s="86"/>
      <c r="D5" s="87"/>
      <c r="E5" s="99"/>
      <c r="F5" s="85"/>
      <c r="G5" s="86"/>
      <c r="H5" s="87"/>
      <c r="I5" s="99"/>
      <c r="J5" s="85"/>
      <c r="K5" s="86"/>
      <c r="L5" s="87"/>
      <c r="O5" s="27">
        <v>1</v>
      </c>
      <c r="P5" s="12" t="str">
        <f>V7</f>
        <v>Marge</v>
      </c>
      <c r="Q5" s="74">
        <f>AB7</f>
        <v>17.5</v>
      </c>
      <c r="R5" s="75">
        <f>X7</f>
        <v>3</v>
      </c>
      <c r="S5" s="76">
        <f>Q5*R5</f>
        <v>52.5</v>
      </c>
      <c r="V5" s="58" t="s">
        <v>49</v>
      </c>
      <c r="W5" s="14">
        <v>2</v>
      </c>
      <c r="X5" s="15">
        <v>3.5</v>
      </c>
      <c r="Y5" s="55">
        <v>160</v>
      </c>
      <c r="Z5" s="55" t="s">
        <v>50</v>
      </c>
      <c r="AB5" s="55">
        <f>Y5/8</f>
        <v>20</v>
      </c>
    </row>
    <row r="6" spans="2:28" ht="15" thickBot="1" x14ac:dyDescent="0.25">
      <c r="B6" s="79">
        <v>1</v>
      </c>
      <c r="C6" s="79" t="str">
        <f>P5</f>
        <v>Marge</v>
      </c>
      <c r="D6" s="81">
        <f>R5</f>
        <v>3</v>
      </c>
      <c r="E6" s="99"/>
      <c r="F6" s="79">
        <v>3</v>
      </c>
      <c r="G6" s="79" t="str">
        <f>P7</f>
        <v>Bart</v>
      </c>
      <c r="H6" s="81">
        <f>R7</f>
        <v>2.5</v>
      </c>
      <c r="I6" s="99"/>
      <c r="J6" s="79">
        <v>5</v>
      </c>
      <c r="K6" s="79" t="str">
        <f>P9</f>
        <v>Lovejoy</v>
      </c>
      <c r="L6" s="81">
        <f>R9</f>
        <v>1.5</v>
      </c>
      <c r="O6" s="29">
        <v>2</v>
      </c>
      <c r="P6" s="36" t="str">
        <f>V5</f>
        <v>Homer</v>
      </c>
      <c r="Q6" s="77">
        <f>AB5</f>
        <v>20</v>
      </c>
      <c r="R6" s="78">
        <f>X5</f>
        <v>3.5</v>
      </c>
      <c r="S6" s="76">
        <f t="shared" ref="S6:S10" si="0">Q6*R6</f>
        <v>70</v>
      </c>
      <c r="V6" s="59"/>
      <c r="W6" s="18">
        <v>3</v>
      </c>
      <c r="X6" s="19">
        <v>4</v>
      </c>
      <c r="Y6" s="57"/>
      <c r="Z6" s="57"/>
      <c r="AB6" s="57"/>
    </row>
    <row r="7" spans="2:28" x14ac:dyDescent="0.2">
      <c r="O7" s="29">
        <v>3</v>
      </c>
      <c r="P7" s="36" t="str">
        <f>V16</f>
        <v>Bart</v>
      </c>
      <c r="Q7" s="77">
        <f>AB16</f>
        <v>16.666666666666668</v>
      </c>
      <c r="R7" s="78">
        <f>X16</f>
        <v>2.5</v>
      </c>
      <c r="S7" s="76">
        <f t="shared" si="0"/>
        <v>41.666666666666671</v>
      </c>
      <c r="V7" s="52" t="s">
        <v>51</v>
      </c>
      <c r="W7" s="23">
        <v>1</v>
      </c>
      <c r="X7" s="24">
        <v>3</v>
      </c>
      <c r="Y7" s="55">
        <v>140</v>
      </c>
      <c r="Z7" s="55" t="s">
        <v>50</v>
      </c>
      <c r="AB7" s="55">
        <f>Y7/8</f>
        <v>17.5</v>
      </c>
    </row>
    <row r="8" spans="2:28" ht="15" thickBot="1" x14ac:dyDescent="0.25">
      <c r="B8" s="88">
        <v>0</v>
      </c>
      <c r="C8" s="89" t="str">
        <f>"1-"&amp;D11</f>
        <v>1-3,5</v>
      </c>
      <c r="D8" s="90">
        <f>B8+D11</f>
        <v>3.5</v>
      </c>
      <c r="E8" s="100"/>
      <c r="F8" s="97">
        <f>D8</f>
        <v>3.5</v>
      </c>
      <c r="G8" s="97" t="str">
        <f>F8+1&amp;"-"&amp;H8</f>
        <v>4,5-8,5</v>
      </c>
      <c r="H8" s="97">
        <f>F8+H11</f>
        <v>8.5</v>
      </c>
      <c r="I8" s="100"/>
      <c r="J8" s="97">
        <f>H8</f>
        <v>8.5</v>
      </c>
      <c r="K8" s="97" t="str">
        <f>J8+1&amp;"-"&amp;L8</f>
        <v>9,5-10,5</v>
      </c>
      <c r="L8" s="97">
        <f>J8+L11</f>
        <v>10.5</v>
      </c>
      <c r="O8" s="29">
        <v>4</v>
      </c>
      <c r="P8" s="36" t="str">
        <f>V7</f>
        <v>Marge</v>
      </c>
      <c r="Q8" s="77">
        <f>AB7</f>
        <v>17.5</v>
      </c>
      <c r="R8" s="78">
        <f>X8</f>
        <v>5</v>
      </c>
      <c r="S8" s="76">
        <f t="shared" si="0"/>
        <v>87.5</v>
      </c>
      <c r="V8" s="54"/>
      <c r="W8" s="18">
        <v>4</v>
      </c>
      <c r="X8" s="19">
        <v>5</v>
      </c>
      <c r="Y8" s="57"/>
      <c r="Z8" s="57"/>
      <c r="AB8" s="57"/>
    </row>
    <row r="9" spans="2:28" x14ac:dyDescent="0.2">
      <c r="B9" s="91" t="s">
        <v>52</v>
      </c>
      <c r="C9" s="92"/>
      <c r="D9" s="93"/>
      <c r="E9" s="100"/>
      <c r="F9" s="91" t="s">
        <v>53</v>
      </c>
      <c r="G9" s="92"/>
      <c r="H9" s="93"/>
      <c r="I9" s="100"/>
      <c r="J9" s="91" t="s">
        <v>54</v>
      </c>
      <c r="K9" s="92"/>
      <c r="L9" s="93"/>
      <c r="O9" s="29">
        <v>5</v>
      </c>
      <c r="P9" s="36" t="str">
        <f>V13</f>
        <v>Lovejoy</v>
      </c>
      <c r="Q9" s="77">
        <f>AB13</f>
        <v>45</v>
      </c>
      <c r="R9" s="78">
        <f>X13</f>
        <v>1.5</v>
      </c>
      <c r="S9" s="76">
        <f t="shared" si="0"/>
        <v>67.5</v>
      </c>
      <c r="V9" s="58" t="s">
        <v>55</v>
      </c>
      <c r="W9" s="14">
        <v>1</v>
      </c>
      <c r="X9" s="15">
        <v>2</v>
      </c>
      <c r="Y9" s="55">
        <v>28</v>
      </c>
      <c r="Z9" s="55" t="s">
        <v>48</v>
      </c>
      <c r="AB9" s="55">
        <v>28</v>
      </c>
    </row>
    <row r="10" spans="2:28" ht="15" thickBot="1" x14ac:dyDescent="0.25">
      <c r="B10" s="94"/>
      <c r="C10" s="95"/>
      <c r="D10" s="96"/>
      <c r="E10" s="100"/>
      <c r="F10" s="94"/>
      <c r="G10" s="95"/>
      <c r="H10" s="96"/>
      <c r="I10" s="100"/>
      <c r="J10" s="94"/>
      <c r="K10" s="95"/>
      <c r="L10" s="96"/>
      <c r="O10" s="40">
        <v>6</v>
      </c>
      <c r="P10" s="11" t="str">
        <f>V15</f>
        <v>Backy</v>
      </c>
      <c r="Q10" s="101">
        <f>AB15</f>
        <v>20.833333333333332</v>
      </c>
      <c r="R10" s="102">
        <f>X15</f>
        <v>2</v>
      </c>
      <c r="S10" s="76">
        <f t="shared" si="0"/>
        <v>41.666666666666664</v>
      </c>
      <c r="V10" s="59"/>
      <c r="W10" s="18">
        <v>3</v>
      </c>
      <c r="X10" s="19">
        <v>1.5</v>
      </c>
      <c r="Y10" s="57"/>
      <c r="Z10" s="57"/>
      <c r="AB10" s="57"/>
    </row>
    <row r="11" spans="2:28" ht="15" thickBot="1" x14ac:dyDescent="0.25">
      <c r="B11" s="97">
        <v>2</v>
      </c>
      <c r="C11" s="97" t="str">
        <f>P6</f>
        <v>Homer</v>
      </c>
      <c r="D11" s="90">
        <f>R6</f>
        <v>3.5</v>
      </c>
      <c r="E11" s="100"/>
      <c r="F11" s="97">
        <v>4</v>
      </c>
      <c r="G11" s="97" t="str">
        <f>P8</f>
        <v>Marge</v>
      </c>
      <c r="H11" s="90">
        <f>R8</f>
        <v>5</v>
      </c>
      <c r="I11" s="100"/>
      <c r="J11" s="97">
        <v>6</v>
      </c>
      <c r="K11" s="97" t="str">
        <f>P10</f>
        <v>Backy</v>
      </c>
      <c r="L11" s="90">
        <f>R10</f>
        <v>2</v>
      </c>
      <c r="O11" s="63" t="s">
        <v>56</v>
      </c>
      <c r="P11" s="64"/>
      <c r="Q11" s="64"/>
      <c r="R11" s="64"/>
      <c r="S11" s="98">
        <f>SUM(S5:S10)</f>
        <v>360.83333333333337</v>
      </c>
      <c r="V11" s="58" t="s">
        <v>57</v>
      </c>
      <c r="W11" s="14">
        <v>1</v>
      </c>
      <c r="X11" s="15">
        <v>1</v>
      </c>
      <c r="Y11" s="55">
        <v>4200</v>
      </c>
      <c r="Z11" s="55" t="s">
        <v>58</v>
      </c>
      <c r="AB11" s="55">
        <f>Y11/7/8</f>
        <v>75</v>
      </c>
    </row>
    <row r="12" spans="2:28" ht="15" thickBot="1" x14ac:dyDescent="0.25">
      <c r="V12" s="59"/>
      <c r="W12" s="18">
        <v>4</v>
      </c>
      <c r="X12" s="19">
        <v>3.5</v>
      </c>
      <c r="Y12" s="57"/>
      <c r="Z12" s="57"/>
      <c r="AB12" s="57"/>
    </row>
    <row r="13" spans="2:28" x14ac:dyDescent="0.2">
      <c r="V13" s="58" t="s">
        <v>59</v>
      </c>
      <c r="W13" s="14">
        <v>5</v>
      </c>
      <c r="X13" s="15">
        <v>1.5</v>
      </c>
      <c r="Y13" s="55">
        <v>360</v>
      </c>
      <c r="Z13" s="55" t="s">
        <v>50</v>
      </c>
      <c r="AB13" s="55">
        <f>Y13/8</f>
        <v>45</v>
      </c>
    </row>
    <row r="14" spans="2:28" ht="15" thickBot="1" x14ac:dyDescent="0.25">
      <c r="V14" s="59"/>
      <c r="W14" s="18">
        <v>6</v>
      </c>
      <c r="X14" s="19">
        <v>1</v>
      </c>
      <c r="Y14" s="57"/>
      <c r="Z14" s="57"/>
      <c r="AB14" s="57"/>
    </row>
    <row r="15" spans="2:28" ht="15" thickBot="1" x14ac:dyDescent="0.25">
      <c r="V15" s="34" t="s">
        <v>60</v>
      </c>
      <c r="W15" s="13">
        <v>6</v>
      </c>
      <c r="X15" s="20">
        <v>2</v>
      </c>
      <c r="Y15" s="33">
        <v>2500</v>
      </c>
      <c r="Z15" s="33" t="s">
        <v>61</v>
      </c>
      <c r="AB15" s="33">
        <f>Y15/15/8</f>
        <v>20.833333333333332</v>
      </c>
    </row>
    <row r="16" spans="2:28" x14ac:dyDescent="0.2">
      <c r="V16" s="58" t="s">
        <v>62</v>
      </c>
      <c r="W16" s="14">
        <v>3</v>
      </c>
      <c r="X16" s="15">
        <v>2.5</v>
      </c>
      <c r="Y16" s="55">
        <v>4000</v>
      </c>
      <c r="Z16" s="55" t="s">
        <v>63</v>
      </c>
      <c r="AB16" s="55">
        <f>Y16/30/8</f>
        <v>16.666666666666668</v>
      </c>
    </row>
    <row r="17" spans="2:29" ht="15" thickBot="1" x14ac:dyDescent="0.25">
      <c r="D17" s="10"/>
      <c r="E17" s="10"/>
      <c r="V17" s="59"/>
      <c r="W17" s="18">
        <v>4</v>
      </c>
      <c r="X17" s="19">
        <v>5.5</v>
      </c>
      <c r="Y17" s="57"/>
      <c r="Z17" s="57"/>
      <c r="AB17" s="57"/>
    </row>
    <row r="18" spans="2:29" x14ac:dyDescent="0.2">
      <c r="D18" s="10"/>
      <c r="E18" s="10"/>
      <c r="V18" s="52" t="s">
        <v>64</v>
      </c>
      <c r="W18" s="14">
        <v>1</v>
      </c>
      <c r="X18" s="15">
        <v>1.5</v>
      </c>
      <c r="Y18" s="55">
        <v>45</v>
      </c>
      <c r="Z18" s="55" t="s">
        <v>48</v>
      </c>
      <c r="AB18" s="55">
        <f>Y18</f>
        <v>45</v>
      </c>
    </row>
    <row r="19" spans="2:29" x14ac:dyDescent="0.2">
      <c r="B19" s="35" t="s">
        <v>65</v>
      </c>
      <c r="D19" s="10"/>
      <c r="E19" s="10"/>
      <c r="V19" s="53"/>
      <c r="W19" s="16">
        <v>5</v>
      </c>
      <c r="X19" s="17">
        <v>2</v>
      </c>
      <c r="Y19" s="56"/>
      <c r="Z19" s="56"/>
      <c r="AB19" s="56"/>
    </row>
    <row r="20" spans="2:29" ht="15" thickBot="1" x14ac:dyDescent="0.25">
      <c r="B20" t="s">
        <v>66</v>
      </c>
      <c r="D20" s="10"/>
      <c r="E20" s="10"/>
      <c r="V20" s="54"/>
      <c r="W20" s="18">
        <v>6</v>
      </c>
      <c r="X20" s="19">
        <v>2.5</v>
      </c>
      <c r="Y20" s="57"/>
      <c r="Z20" s="57"/>
      <c r="AB20" s="57"/>
    </row>
    <row r="21" spans="2:29" ht="15" thickBot="1" x14ac:dyDescent="0.25">
      <c r="B21" s="35" t="s">
        <v>67</v>
      </c>
      <c r="D21" s="10"/>
      <c r="E21" s="10"/>
    </row>
    <row r="22" spans="2:29" ht="15" thickBot="1" x14ac:dyDescent="0.25">
      <c r="B22" t="s">
        <v>68</v>
      </c>
      <c r="D22" s="10"/>
      <c r="E22" s="10"/>
      <c r="W22" s="73"/>
      <c r="AB22" s="25" t="s">
        <v>36</v>
      </c>
      <c r="AC22" s="26" t="s">
        <v>69</v>
      </c>
    </row>
    <row r="23" spans="2:29" x14ac:dyDescent="0.2">
      <c r="B23" t="s">
        <v>70</v>
      </c>
      <c r="D23" s="10"/>
      <c r="E23" s="10"/>
      <c r="O23" s="67" t="s">
        <v>152</v>
      </c>
      <c r="P23" s="67"/>
      <c r="Q23" s="67"/>
      <c r="R23" s="107" t="s">
        <v>156</v>
      </c>
      <c r="S23" s="67">
        <v>3</v>
      </c>
      <c r="AB23" s="27" t="s">
        <v>71</v>
      </c>
      <c r="AC23" s="28" t="s">
        <v>48</v>
      </c>
    </row>
    <row r="24" spans="2:29" x14ac:dyDescent="0.2">
      <c r="D24" s="10"/>
      <c r="E24" s="10"/>
      <c r="O24" s="67" t="s">
        <v>153</v>
      </c>
      <c r="P24" s="67"/>
      <c r="Q24" s="67"/>
      <c r="R24" s="107" t="s">
        <v>158</v>
      </c>
      <c r="S24" s="67">
        <v>3</v>
      </c>
      <c r="T24" s="67" t="s">
        <v>159</v>
      </c>
      <c r="U24" s="112"/>
      <c r="V24" s="67"/>
      <c r="W24" s="67"/>
      <c r="X24" s="67"/>
      <c r="Y24" s="67"/>
      <c r="Z24" s="66"/>
      <c r="AB24" s="29" t="s">
        <v>72</v>
      </c>
      <c r="AC24" s="30" t="s">
        <v>50</v>
      </c>
    </row>
    <row r="25" spans="2:29" x14ac:dyDescent="0.2">
      <c r="B25" t="s">
        <v>26</v>
      </c>
      <c r="O25" s="67" t="s">
        <v>154</v>
      </c>
      <c r="P25" s="67"/>
      <c r="Q25" s="67"/>
      <c r="R25" s="108">
        <f>S23/6</f>
        <v>0.5</v>
      </c>
      <c r="S25" s="108"/>
      <c r="T25" s="108"/>
      <c r="AB25" s="29" t="s">
        <v>73</v>
      </c>
      <c r="AC25" s="30" t="s">
        <v>50</v>
      </c>
    </row>
    <row r="26" spans="2:29" ht="15" thickBot="1" x14ac:dyDescent="0.25">
      <c r="B26" t="s">
        <v>74</v>
      </c>
      <c r="O26" s="67"/>
      <c r="P26" s="67"/>
      <c r="Q26" s="67"/>
      <c r="R26" s="67"/>
      <c r="S26" s="67"/>
      <c r="T26" s="67"/>
      <c r="AB26" s="31" t="s">
        <v>75</v>
      </c>
      <c r="AC26" s="32" t="s">
        <v>50</v>
      </c>
    </row>
    <row r="27" spans="2:29" x14ac:dyDescent="0.2">
      <c r="B27" t="s">
        <v>76</v>
      </c>
      <c r="O27" s="67" t="s">
        <v>161</v>
      </c>
      <c r="P27" s="67"/>
      <c r="Q27" s="67"/>
      <c r="R27" s="67">
        <f>L8</f>
        <v>10.5</v>
      </c>
      <c r="S27" s="109" t="str">
        <f>AB12&amp;" horas"</f>
        <v xml:space="preserve"> horas</v>
      </c>
      <c r="T27" s="67"/>
    </row>
    <row r="28" spans="2:29" x14ac:dyDescent="0.2">
      <c r="B28" t="s">
        <v>77</v>
      </c>
      <c r="O28" s="67"/>
      <c r="P28" s="67"/>
      <c r="Q28" s="67"/>
      <c r="R28" s="67"/>
      <c r="S28" s="67"/>
      <c r="T28" s="67"/>
    </row>
    <row r="29" spans="2:29" x14ac:dyDescent="0.2">
      <c r="B29" t="s">
        <v>78</v>
      </c>
      <c r="O29" s="67" t="s">
        <v>157</v>
      </c>
      <c r="P29" s="67"/>
      <c r="Q29" s="67"/>
      <c r="R29" s="110">
        <f>L8/8</f>
        <v>1.3125</v>
      </c>
      <c r="S29" s="67" t="s">
        <v>155</v>
      </c>
      <c r="T29" s="67"/>
      <c r="U29" s="106"/>
    </row>
    <row r="30" spans="2:29" x14ac:dyDescent="0.2">
      <c r="B30" t="s">
        <v>79</v>
      </c>
    </row>
    <row r="31" spans="2:29" x14ac:dyDescent="0.2">
      <c r="B31" t="s">
        <v>80</v>
      </c>
      <c r="O31" s="67" t="s">
        <v>160</v>
      </c>
      <c r="P31" s="67"/>
      <c r="R31" s="111">
        <f>S11</f>
        <v>360.83333333333337</v>
      </c>
    </row>
    <row r="32" spans="2:29" x14ac:dyDescent="0.2">
      <c r="B32" t="s">
        <v>81</v>
      </c>
    </row>
  </sheetData>
  <mergeCells count="37">
    <mergeCell ref="N1:V1"/>
    <mergeCell ref="O3:S3"/>
    <mergeCell ref="O11:R11"/>
    <mergeCell ref="F9:H10"/>
    <mergeCell ref="F4:H5"/>
    <mergeCell ref="J4:L5"/>
    <mergeCell ref="AB5:AB6"/>
    <mergeCell ref="B4:D5"/>
    <mergeCell ref="AB16:AB17"/>
    <mergeCell ref="V9:V10"/>
    <mergeCell ref="Y9:Y10"/>
    <mergeCell ref="Z9:Z10"/>
    <mergeCell ref="AB9:AB10"/>
    <mergeCell ref="V16:V17"/>
    <mergeCell ref="Y16:Y17"/>
    <mergeCell ref="Z16:Z17"/>
    <mergeCell ref="B9:D10"/>
    <mergeCell ref="V5:V6"/>
    <mergeCell ref="Y5:Y6"/>
    <mergeCell ref="Z5:Z6"/>
    <mergeCell ref="J9:L10"/>
    <mergeCell ref="V18:V20"/>
    <mergeCell ref="Y18:Y20"/>
    <mergeCell ref="Z18:Z20"/>
    <mergeCell ref="AB18:AB20"/>
    <mergeCell ref="V7:V8"/>
    <mergeCell ref="Y7:Y8"/>
    <mergeCell ref="Z7:Z8"/>
    <mergeCell ref="AB7:AB8"/>
    <mergeCell ref="V11:V12"/>
    <mergeCell ref="Y11:Y12"/>
    <mergeCell ref="Z11:Z12"/>
    <mergeCell ref="AB11:AB12"/>
    <mergeCell ref="V13:V14"/>
    <mergeCell ref="Y13:Y14"/>
    <mergeCell ref="Z13:Z14"/>
    <mergeCell ref="AB13:AB14"/>
  </mergeCells>
  <pageMargins left="0.511811024" right="0.511811024" top="0.78740157499999996" bottom="0.78740157499999996" header="0.31496062000000002" footer="0.31496062000000002"/>
  <ignoredErrors>
    <ignoredError sqref="Q5:Q6 P7:Q7 Q9:Q10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28"/>
  <sheetViews>
    <sheetView zoomScale="90" zoomScaleNormal="90" workbookViewId="0">
      <selection activeCell="D19" sqref="D19"/>
    </sheetView>
  </sheetViews>
  <sheetFormatPr defaultRowHeight="14.25" x14ac:dyDescent="0.2"/>
  <cols>
    <col min="1" max="1" width="2.77734375" customWidth="1"/>
    <col min="2" max="2" width="95.5546875" customWidth="1"/>
    <col min="3" max="3" width="3.21875" customWidth="1"/>
    <col min="4" max="4" width="9" bestFit="1" customWidth="1"/>
    <col min="5" max="5" width="33.77734375" customWidth="1"/>
    <col min="6" max="6" width="4.77734375" customWidth="1"/>
    <col min="7" max="7" width="7.88671875" customWidth="1"/>
    <col min="8" max="8" width="13.5546875" customWidth="1"/>
    <col min="9" max="9" width="14.6640625" customWidth="1"/>
    <col min="10" max="10" width="9" bestFit="1" customWidth="1"/>
    <col min="12" max="12" width="9" bestFit="1" customWidth="1"/>
    <col min="13" max="13" width="13" customWidth="1"/>
    <col min="14" max="14" width="11.6640625" bestFit="1" customWidth="1"/>
    <col min="15" max="15" width="29.109375" customWidth="1"/>
  </cols>
  <sheetData>
    <row r="1" spans="2:15" x14ac:dyDescent="0.2">
      <c r="B1" s="41" t="str">
        <f>Id!B1</f>
        <v>Preencher o nome e RA na Planilha Id, células C9 e C10</v>
      </c>
      <c r="D1" s="8" t="s">
        <v>1</v>
      </c>
      <c r="E1" s="9">
        <v>4</v>
      </c>
    </row>
    <row r="2" spans="2:15" ht="15" thickBot="1" x14ac:dyDescent="0.25"/>
    <row r="3" spans="2:15" ht="15.75" thickBot="1" x14ac:dyDescent="0.3">
      <c r="B3" s="42" t="s">
        <v>82</v>
      </c>
      <c r="D3" s="42"/>
      <c r="F3" s="113" t="s">
        <v>162</v>
      </c>
      <c r="G3" s="114"/>
      <c r="H3" s="114"/>
      <c r="I3" s="114"/>
      <c r="J3" s="115"/>
      <c r="K3" s="116" t="s">
        <v>163</v>
      </c>
      <c r="L3" s="113" t="s">
        <v>164</v>
      </c>
      <c r="M3" s="114"/>
      <c r="N3" s="115"/>
    </row>
    <row r="4" spans="2:15" ht="15" thickBot="1" x14ac:dyDescent="0.25">
      <c r="B4" s="42"/>
      <c r="D4" s="127" t="s">
        <v>42</v>
      </c>
      <c r="E4" s="128" t="s">
        <v>165</v>
      </c>
      <c r="F4" s="129" t="s">
        <v>166</v>
      </c>
      <c r="G4" s="129" t="s">
        <v>167</v>
      </c>
      <c r="H4" s="129" t="s">
        <v>168</v>
      </c>
      <c r="I4" s="129" t="s">
        <v>169</v>
      </c>
      <c r="J4" s="129" t="s">
        <v>170</v>
      </c>
      <c r="K4" s="130" t="s">
        <v>171</v>
      </c>
      <c r="L4" s="129" t="s">
        <v>172</v>
      </c>
      <c r="M4" s="129" t="s">
        <v>173</v>
      </c>
      <c r="N4" s="130" t="s">
        <v>174</v>
      </c>
      <c r="O4" s="128" t="s">
        <v>175</v>
      </c>
    </row>
    <row r="5" spans="2:15" ht="15" thickBot="1" x14ac:dyDescent="0.25">
      <c r="B5" s="42" t="s">
        <v>83</v>
      </c>
      <c r="D5" s="125">
        <v>39</v>
      </c>
      <c r="E5" s="126" t="s">
        <v>182</v>
      </c>
      <c r="F5" s="117" t="s">
        <v>176</v>
      </c>
      <c r="G5" s="118">
        <v>0.4</v>
      </c>
      <c r="H5" s="119">
        <f>I5*J5</f>
        <v>3315</v>
      </c>
      <c r="I5" s="119">
        <v>25500</v>
      </c>
      <c r="J5" s="120">
        <v>0.13</v>
      </c>
      <c r="K5" s="132" t="s">
        <v>185</v>
      </c>
      <c r="L5" s="118">
        <v>0.05</v>
      </c>
      <c r="M5" s="119">
        <v>663</v>
      </c>
      <c r="N5" s="131">
        <f>L5*M5</f>
        <v>33.15</v>
      </c>
      <c r="O5" s="117" t="s">
        <v>190</v>
      </c>
    </row>
    <row r="6" spans="2:15" ht="15" thickBot="1" x14ac:dyDescent="0.25">
      <c r="B6" s="42" t="s">
        <v>84</v>
      </c>
      <c r="D6" s="125">
        <v>41</v>
      </c>
      <c r="E6" s="126" t="s">
        <v>179</v>
      </c>
      <c r="F6" s="117" t="s">
        <v>178</v>
      </c>
      <c r="G6" s="118">
        <v>0.2</v>
      </c>
      <c r="H6" s="119">
        <f t="shared" ref="H6:H9" si="0">I6*J6</f>
        <v>2530</v>
      </c>
      <c r="I6" s="119">
        <v>11000</v>
      </c>
      <c r="J6" s="120">
        <v>0.23</v>
      </c>
      <c r="K6" s="132" t="s">
        <v>186</v>
      </c>
      <c r="L6" s="118">
        <v>0.5</v>
      </c>
      <c r="M6" s="121">
        <v>3036</v>
      </c>
      <c r="N6" s="131">
        <f>-L6*M6</f>
        <v>-1518</v>
      </c>
      <c r="O6" s="117" t="s">
        <v>191</v>
      </c>
    </row>
    <row r="7" spans="2:15" ht="15" thickBot="1" x14ac:dyDescent="0.25">
      <c r="B7" s="42" t="s">
        <v>85</v>
      </c>
      <c r="D7" s="125">
        <v>64</v>
      </c>
      <c r="E7" s="126" t="s">
        <v>183</v>
      </c>
      <c r="F7" s="117" t="s">
        <v>176</v>
      </c>
      <c r="G7" s="118">
        <v>0.3</v>
      </c>
      <c r="H7" s="119">
        <f t="shared" si="0"/>
        <v>10800</v>
      </c>
      <c r="I7" s="119">
        <v>40000</v>
      </c>
      <c r="J7" s="120">
        <v>0.27</v>
      </c>
      <c r="K7" s="132" t="s">
        <v>187</v>
      </c>
      <c r="L7" s="118">
        <v>0.1</v>
      </c>
      <c r="M7" s="121">
        <v>1080</v>
      </c>
      <c r="N7" s="131">
        <f>L7*M7</f>
        <v>108</v>
      </c>
      <c r="O7" s="117" t="s">
        <v>192</v>
      </c>
    </row>
    <row r="8" spans="2:15" ht="15" thickBot="1" x14ac:dyDescent="0.25">
      <c r="B8" s="42" t="s">
        <v>86</v>
      </c>
      <c r="D8" s="125">
        <v>88</v>
      </c>
      <c r="E8" s="126" t="s">
        <v>177</v>
      </c>
      <c r="F8" s="117" t="s">
        <v>176</v>
      </c>
      <c r="G8" s="118">
        <v>0.25</v>
      </c>
      <c r="H8" s="119">
        <f t="shared" si="0"/>
        <v>8835</v>
      </c>
      <c r="I8" s="119">
        <v>28500</v>
      </c>
      <c r="J8" s="120">
        <v>0.31</v>
      </c>
      <c r="K8" s="132" t="s">
        <v>188</v>
      </c>
      <c r="L8" s="118">
        <v>0.1</v>
      </c>
      <c r="M8" s="119">
        <v>4417.5</v>
      </c>
      <c r="N8" s="131">
        <f>L8*M8</f>
        <v>441.75</v>
      </c>
      <c r="O8" s="117" t="s">
        <v>193</v>
      </c>
    </row>
    <row r="9" spans="2:15" ht="15" thickBot="1" x14ac:dyDescent="0.25">
      <c r="B9" s="42" t="s">
        <v>87</v>
      </c>
      <c r="D9" s="125">
        <v>94</v>
      </c>
      <c r="E9" s="126" t="s">
        <v>184</v>
      </c>
      <c r="F9" s="117" t="s">
        <v>176</v>
      </c>
      <c r="G9" s="118">
        <v>0.35</v>
      </c>
      <c r="H9" s="119">
        <f t="shared" si="0"/>
        <v>12243</v>
      </c>
      <c r="I9" s="119">
        <v>23100</v>
      </c>
      <c r="J9" s="120">
        <v>0.53</v>
      </c>
      <c r="K9" s="132" t="s">
        <v>189</v>
      </c>
      <c r="L9" s="118">
        <v>0.35</v>
      </c>
      <c r="M9" s="121">
        <f>H9</f>
        <v>12243</v>
      </c>
      <c r="N9" s="131">
        <f>L9*M9</f>
        <v>4285.05</v>
      </c>
      <c r="O9" s="117" t="s">
        <v>194</v>
      </c>
    </row>
    <row r="10" spans="2:15" ht="15" thickBot="1" x14ac:dyDescent="0.25">
      <c r="B10" s="42"/>
      <c r="D10" s="122" t="s">
        <v>180</v>
      </c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4">
        <f>SUM(N5:N9)</f>
        <v>3349.9500000000003</v>
      </c>
    </row>
    <row r="11" spans="2:15" ht="15" thickBot="1" x14ac:dyDescent="0.25">
      <c r="B11" s="47" t="s">
        <v>88</v>
      </c>
      <c r="D11" s="122" t="s">
        <v>181</v>
      </c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4">
        <f>N6</f>
        <v>-1518</v>
      </c>
    </row>
    <row r="12" spans="2:15" x14ac:dyDescent="0.2">
      <c r="B12" s="42" t="s">
        <v>89</v>
      </c>
    </row>
    <row r="13" spans="2:15" x14ac:dyDescent="0.2">
      <c r="B13" s="42" t="s">
        <v>90</v>
      </c>
      <c r="C13" t="s">
        <v>195</v>
      </c>
      <c r="D13" s="66" t="s">
        <v>196</v>
      </c>
    </row>
    <row r="14" spans="2:15" x14ac:dyDescent="0.2">
      <c r="B14" s="42" t="s">
        <v>91</v>
      </c>
      <c r="D14" s="66" t="s">
        <v>197</v>
      </c>
    </row>
    <row r="15" spans="2:15" x14ac:dyDescent="0.2">
      <c r="B15" s="43" t="s">
        <v>92</v>
      </c>
      <c r="D15" s="66" t="s">
        <v>198</v>
      </c>
    </row>
    <row r="16" spans="2:15" x14ac:dyDescent="0.2">
      <c r="D16" s="66" t="s">
        <v>199</v>
      </c>
    </row>
    <row r="17" spans="2:4" x14ac:dyDescent="0.2">
      <c r="B17" s="42" t="s">
        <v>93</v>
      </c>
      <c r="D17" s="66" t="s">
        <v>200</v>
      </c>
    </row>
    <row r="18" spans="2:4" x14ac:dyDescent="0.2">
      <c r="D18" s="66" t="s">
        <v>201</v>
      </c>
    </row>
    <row r="19" spans="2:4" x14ac:dyDescent="0.2">
      <c r="B19" s="49" t="s">
        <v>94</v>
      </c>
      <c r="D19" s="66" t="s">
        <v>202</v>
      </c>
    </row>
    <row r="20" spans="2:4" x14ac:dyDescent="0.2">
      <c r="B20" s="50" t="s">
        <v>95</v>
      </c>
    </row>
    <row r="24" spans="2:4" x14ac:dyDescent="0.2">
      <c r="D24" s="66"/>
    </row>
    <row r="26" spans="2:4" x14ac:dyDescent="0.2">
      <c r="D26" s="66"/>
    </row>
    <row r="28" spans="2:4" x14ac:dyDescent="0.2">
      <c r="D28" s="66"/>
    </row>
  </sheetData>
  <mergeCells count="4">
    <mergeCell ref="F3:J3"/>
    <mergeCell ref="L3:N3"/>
    <mergeCell ref="D10:N10"/>
    <mergeCell ref="D11:N11"/>
  </mergeCells>
  <conditionalFormatting sqref="N5:N9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0C1ABC62A77F408CCCD3E2FA81569F" ma:contentTypeVersion="31" ma:contentTypeDescription="Crie um novo documento." ma:contentTypeScope="" ma:versionID="ce0d775541ced5b0228029bf3962f29d">
  <xsd:schema xmlns:xsd="http://www.w3.org/2001/XMLSchema" xmlns:xs="http://www.w3.org/2001/XMLSchema" xmlns:p="http://schemas.microsoft.com/office/2006/metadata/properties" xmlns:ns2="cab57bc6-0aad-4c80-a30f-bbd4ef7a8f38" xmlns:ns3="4c24305b-3a8f-420f-955e-2e1a5a939de2" targetNamespace="http://schemas.microsoft.com/office/2006/metadata/properties" ma:root="true" ma:fieldsID="c8ca90820b6b243a74d6dfed12b9e9be" ns2:_="" ns3:_="">
    <xsd:import namespace="cab57bc6-0aad-4c80-a30f-bbd4ef7a8f38"/>
    <xsd:import namespace="4c24305b-3a8f-420f-955e-2e1a5a939d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57bc6-0aad-4c80-a30f-bbd4ef7a8f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6" nillable="true" ma:displayName="Is Collaboration Space Locked" ma:internalName="Is_Collaboration_Space_Locked">
      <xsd:simpleType>
        <xsd:restriction base="dms:Boolean"/>
      </xsd:simpleType>
    </xsd:element>
    <xsd:element name="IsNotebookLocked" ma:index="37" nillable="true" ma:displayName="Is Notebook Locked" ma:internalName="IsNotebookLocked">
      <xsd:simpleType>
        <xsd:restriction base="dms:Boolean"/>
      </xsd:simpleType>
    </xsd:element>
    <xsd:element name="Teams_Channel_Section_Location" ma:index="38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4305b-3a8f-420f-955e-2e1a5a939d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350505-bc0f-4d93-8d46-0be6711c3ec0}" ma:internalName="TaxCatchAll" ma:showField="CatchAllData" ma:web="4c24305b-3a8f-420f-955e-2e1a5a939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cab57bc6-0aad-4c80-a30f-bbd4ef7a8f38" xsi:nil="true"/>
    <Invited_Students xmlns="cab57bc6-0aad-4c80-a30f-bbd4ef7a8f38" xsi:nil="true"/>
    <DefaultSectionNames xmlns="cab57bc6-0aad-4c80-a30f-bbd4ef7a8f38" xsi:nil="true"/>
    <Self_Registration_Enabled xmlns="cab57bc6-0aad-4c80-a30f-bbd4ef7a8f38" xsi:nil="true"/>
    <CultureName xmlns="cab57bc6-0aad-4c80-a30f-bbd4ef7a8f38" xsi:nil="true"/>
    <Student_Groups xmlns="cab57bc6-0aad-4c80-a30f-bbd4ef7a8f38">
      <UserInfo>
        <DisplayName/>
        <AccountId xsi:nil="true"/>
        <AccountType/>
      </UserInfo>
    </Student_Groups>
    <Has_Teacher_Only_SectionGroup xmlns="cab57bc6-0aad-4c80-a30f-bbd4ef7a8f38" xsi:nil="true"/>
    <AppVersion xmlns="cab57bc6-0aad-4c80-a30f-bbd4ef7a8f38" xsi:nil="true"/>
    <TaxCatchAll xmlns="4c24305b-3a8f-420f-955e-2e1a5a939de2" xsi:nil="true"/>
    <Teams_Channel_Section_Location xmlns="cab57bc6-0aad-4c80-a30f-bbd4ef7a8f38" xsi:nil="true"/>
    <Math_Settings xmlns="cab57bc6-0aad-4c80-a30f-bbd4ef7a8f38" xsi:nil="true"/>
    <Owner xmlns="cab57bc6-0aad-4c80-a30f-bbd4ef7a8f38">
      <UserInfo>
        <DisplayName/>
        <AccountId xsi:nil="true"/>
        <AccountType/>
      </UserInfo>
    </Owner>
    <Invited_Teachers xmlns="cab57bc6-0aad-4c80-a30f-bbd4ef7a8f38" xsi:nil="true"/>
    <IsNotebookLocked xmlns="cab57bc6-0aad-4c80-a30f-bbd4ef7a8f38" xsi:nil="true"/>
    <Is_Collaboration_Space_Locked xmlns="cab57bc6-0aad-4c80-a30f-bbd4ef7a8f38" xsi:nil="true"/>
    <Templates xmlns="cab57bc6-0aad-4c80-a30f-bbd4ef7a8f38" xsi:nil="true"/>
    <NotebookType xmlns="cab57bc6-0aad-4c80-a30f-bbd4ef7a8f38" xsi:nil="true"/>
    <Distribution_Groups xmlns="cab57bc6-0aad-4c80-a30f-bbd4ef7a8f38" xsi:nil="true"/>
    <LMS_Mappings xmlns="cab57bc6-0aad-4c80-a30f-bbd4ef7a8f38" xsi:nil="true"/>
    <lcf76f155ced4ddcb4097134ff3c332f xmlns="cab57bc6-0aad-4c80-a30f-bbd4ef7a8f38">
      <Terms xmlns="http://schemas.microsoft.com/office/infopath/2007/PartnerControls"/>
    </lcf76f155ced4ddcb4097134ff3c332f>
    <FolderType xmlns="cab57bc6-0aad-4c80-a30f-bbd4ef7a8f38" xsi:nil="true"/>
    <Teachers xmlns="cab57bc6-0aad-4c80-a30f-bbd4ef7a8f38">
      <UserInfo>
        <DisplayName/>
        <AccountId xsi:nil="true"/>
        <AccountType/>
      </UserInfo>
    </Teachers>
    <Students xmlns="cab57bc6-0aad-4c80-a30f-bbd4ef7a8f38">
      <UserInfo>
        <DisplayName/>
        <AccountId xsi:nil="true"/>
        <AccountType/>
      </UserInfo>
    </Students>
  </documentManagement>
</p:properties>
</file>

<file path=customXml/itemProps1.xml><?xml version="1.0" encoding="utf-8"?>
<ds:datastoreItem xmlns:ds="http://schemas.openxmlformats.org/officeDocument/2006/customXml" ds:itemID="{FCA93A14-DB46-4313-9EA7-D8954DF14C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CA467E-D992-40F4-96A5-2B76BDB51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b57bc6-0aad-4c80-a30f-bbd4ef7a8f38"/>
    <ds:schemaRef ds:uri="4c24305b-3a8f-420f-955e-2e1a5a939d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475C6-A649-43E2-A949-234786F29ABD}">
  <ds:schemaRefs>
    <ds:schemaRef ds:uri="http://schemas.microsoft.com/office/2006/metadata/properties"/>
    <ds:schemaRef ds:uri="http://schemas.microsoft.com/office/infopath/2007/PartnerControls"/>
    <ds:schemaRef ds:uri="cab57bc6-0aad-4c80-a30f-bbd4ef7a8f38"/>
    <ds:schemaRef ds:uri="4c24305b-3a8f-420f-955e-2e1a5a939d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Id</vt:lpstr>
      <vt:lpstr>Q1</vt:lpstr>
      <vt:lpstr>Q2</vt:lpstr>
      <vt:lpstr>Q3</vt:lpstr>
      <vt:lpstr>Q4</vt:lpstr>
      <vt:lpstr>Q5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Parecerista</dc:creator>
  <cp:keywords/>
  <dc:description/>
  <cp:lastModifiedBy>Felipe de Jesus</cp:lastModifiedBy>
  <cp:revision/>
  <dcterms:created xsi:type="dcterms:W3CDTF">2021-09-29T17:40:39Z</dcterms:created>
  <dcterms:modified xsi:type="dcterms:W3CDTF">2025-11-28T12:58:02Z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0x010100500C1ABC62A77F408CCCD3E2FA81569F</vt:lpwstr>
  </property>
  <property fmtid="{D5CDD505-2E9C-101B-9397-08002B2CF9AE}" pid="3" name="MediaServiceImageTags">
    <vt:lpwstr/>
  </property>
</Properties>
</file>