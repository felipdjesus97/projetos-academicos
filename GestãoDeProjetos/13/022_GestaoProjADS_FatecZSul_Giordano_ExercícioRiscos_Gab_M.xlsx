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13_ncr:1_{22DD3AD2-4AED-4E33-A300-18AA370C79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scos" sheetId="3" r:id="rId1"/>
    <sheet name="Contingênc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H9" i="1"/>
  <c r="M20" i="1"/>
  <c r="L8" i="1"/>
  <c r="H8" i="1"/>
  <c r="L7" i="1"/>
  <c r="K7" i="1"/>
  <c r="J7" i="1"/>
  <c r="H7" i="1"/>
  <c r="M19" i="1"/>
  <c r="L6" i="1"/>
  <c r="H6" i="1"/>
  <c r="L5" i="1"/>
  <c r="H5" i="1"/>
  <c r="L4" i="1"/>
  <c r="H4" i="1"/>
</calcChain>
</file>

<file path=xl/sharedStrings.xml><?xml version="1.0" encoding="utf-8"?>
<sst xmlns="http://schemas.openxmlformats.org/spreadsheetml/2006/main" count="116" uniqueCount="100">
  <si>
    <t>Risco</t>
  </si>
  <si>
    <t>+/-</t>
  </si>
  <si>
    <t>P1%</t>
  </si>
  <si>
    <t>I1%</t>
  </si>
  <si>
    <t>Estratégia</t>
  </si>
  <si>
    <t>P2%</t>
  </si>
  <si>
    <t>I2R$</t>
  </si>
  <si>
    <t>Reserva R$</t>
  </si>
  <si>
    <t>Efeito no Projeto</t>
  </si>
  <si>
    <t>Alteração do valor do dólar</t>
  </si>
  <si>
    <t>Alteração nos custos</t>
  </si>
  <si>
    <t>Modificações no escopo por parte da alta administração</t>
  </si>
  <si>
    <t>Modificações na duração, nos custos e na qualidade</t>
  </si>
  <si>
    <t>Falhas nos equipamentos de TI</t>
  </si>
  <si>
    <t>Atrasos nas implementações e nos treinamentos</t>
  </si>
  <si>
    <t>Chuvas</t>
  </si>
  <si>
    <t>Atraso nas obras</t>
  </si>
  <si>
    <t>Condições do mercado se alteraram</t>
  </si>
  <si>
    <t>Tamanho do CD</t>
  </si>
  <si>
    <t>A inflação do período</t>
  </si>
  <si>
    <t>Custos da construção</t>
  </si>
  <si>
    <t>Problemas de transporte nos equipamentos (especiais)</t>
  </si>
  <si>
    <t>Atraso no recebimento dos equipamentos</t>
  </si>
  <si>
    <t>Instalação dos equipamentos e conexão com os sistemas atuais</t>
  </si>
  <si>
    <t>Não integração dos sistemas novos com os atuais</t>
  </si>
  <si>
    <t>Detectado algum otimismo nas expectativas de duração das tarefas</t>
  </si>
  <si>
    <t>Alterações nas durações das tarefas</t>
  </si>
  <si>
    <t>Comunicações entre as partes inadequadas</t>
  </si>
  <si>
    <t>Impacto sobre o sequenciamento das tarefas</t>
  </si>
  <si>
    <t>Erros nas alocações dos RH e dos equipamentos</t>
  </si>
  <si>
    <t>Replanejamento do Projeto</t>
  </si>
  <si>
    <t>Não liberação de financiamentos externos</t>
  </si>
  <si>
    <t>Parada do Projeto</t>
  </si>
  <si>
    <t>Treinamentos antecipados</t>
  </si>
  <si>
    <t>Antecipação nas instalações</t>
  </si>
  <si>
    <t>Problemas os fornecedores</t>
  </si>
  <si>
    <t>Reprogramação nos recebimentos</t>
  </si>
  <si>
    <t>Tarefa</t>
  </si>
  <si>
    <t>Políticas de proteção ao trabalhador em discussão no Congresso</t>
  </si>
  <si>
    <t xml:space="preserve">Contingência (reserva)   </t>
  </si>
  <si>
    <t>P=Probabilidade</t>
  </si>
  <si>
    <t>I=Impacto</t>
  </si>
  <si>
    <t>I1R$</t>
  </si>
  <si>
    <t>Custo Tarefa</t>
  </si>
  <si>
    <t>Tipo: negativo ou positivo</t>
  </si>
  <si>
    <t>Negativos</t>
  </si>
  <si>
    <t>Eliminar</t>
  </si>
  <si>
    <t>Transferir</t>
  </si>
  <si>
    <t>Mitigar</t>
  </si>
  <si>
    <t>Aceitar</t>
  </si>
  <si>
    <t>Positivos</t>
  </si>
  <si>
    <t>Explorar</t>
  </si>
  <si>
    <t>Compartilhar</t>
  </si>
  <si>
    <t>Melhorar</t>
  </si>
  <si>
    <t xml:space="preserve">Riscos positivos  </t>
  </si>
  <si>
    <t>Arbitrar os valores de porcentagem e impacto, porém coerentes.</t>
  </si>
  <si>
    <t>Custos com Riscos</t>
  </si>
  <si>
    <t>A partir do DR ou do EAP, distribuição das Tarefas.</t>
  </si>
  <si>
    <t>Analisando cada Tarefa do DR, é necessário.</t>
  </si>
  <si>
    <t>1. Identificar o(s) risco(s) em cada Tarefa.</t>
  </si>
  <si>
    <t>Fase 1</t>
  </si>
  <si>
    <t>2.Qual o tipo de risco, negativo ou positivo.</t>
  </si>
  <si>
    <t>3. Determinar a probabilidade (1) do Risco (%).</t>
  </si>
  <si>
    <t>4. Determinar o impacto (1) do Risco (R$).</t>
  </si>
  <si>
    <t>5. Estratégia a ser utilizada para tratar o Risco.</t>
  </si>
  <si>
    <t>Fase 2</t>
  </si>
  <si>
    <t>6. Determinar a probabilidade (2) do Risco em %.</t>
  </si>
  <si>
    <t>Fase 3</t>
  </si>
  <si>
    <t>7. Determinar o impacto (2) do Risco em R$</t>
  </si>
  <si>
    <t>8. Multiplicar a Prob (2) x Impacto (2)</t>
  </si>
  <si>
    <t>9. O valor em reais calculado é a contingência</t>
  </si>
  <si>
    <t>10. A soma de todos os valores de contingência de</t>
  </si>
  <si>
    <t xml:space="preserve">         cada Tarefa, gera o valor de contingência total,</t>
  </si>
  <si>
    <t xml:space="preserve">         que é o valor que será acrescido ao custo do</t>
  </si>
  <si>
    <t xml:space="preserve">         projeto. Como se fosse uma poupança, um banco.</t>
  </si>
  <si>
    <t xml:space="preserve">        Durante a execução, esse valor quando utilizado</t>
  </si>
  <si>
    <t xml:space="preserve">        é retirado do banco e usado para reperar o</t>
  </si>
  <si>
    <t xml:space="preserve">       prazo, custo ou qualidade envolvidos como</t>
  </si>
  <si>
    <t xml:space="preserve">       repercursão do risco acontecido.</t>
  </si>
  <si>
    <t>Elaborar respostas 13 respostas para os riscos negativos e duas respostas para riscos positivos.</t>
  </si>
  <si>
    <t>Nos exercícios os valores serão arbitrados, ou seja,</t>
  </si>
  <si>
    <t>nós escolhemos com coerência.</t>
  </si>
  <si>
    <t>No mundo real os valores devem ser APURADOS,</t>
  </si>
  <si>
    <t>sem chutes.</t>
  </si>
  <si>
    <t>Transferir=parte da probabilidade ou parte do imapcto,</t>
  </si>
  <si>
    <t>ou ainda, transferir parte da probabilidade e parte</t>
  </si>
  <si>
    <t>do impacto. Uso terceiros.</t>
  </si>
  <si>
    <t>Mitigar=parte da probabilidade ou parte do imapcto,</t>
  </si>
  <si>
    <t>do impacto. Uso internos.</t>
  </si>
  <si>
    <t>para conseguir calcular a contingência.</t>
  </si>
  <si>
    <t>Lembrando novamente: no mundo real,</t>
  </si>
  <si>
    <t>os valores devem ser APURADOS.</t>
  </si>
  <si>
    <t>Não existe "gordurinha", o que existe é análise</t>
  </si>
  <si>
    <t>de Riscos e Valor de Contingência.</t>
  </si>
  <si>
    <t>MAG</t>
  </si>
  <si>
    <t>ou ainda, mitigar parte da probabilidade e parte</t>
  </si>
  <si>
    <t>Na DI e P2/P3, alguns valores devem ser arbitrados,</t>
  </si>
  <si>
    <t>-</t>
  </si>
  <si>
    <t>+</t>
  </si>
  <si>
    <t>Nos Riscos Positivos o Valor de Reserva é apresentado como negativo.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</si>
</sst>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 Rounded MT Bold"/>
      <family val="2"/>
    </font>
    <font>
      <sz val="9"/>
      <color theme="1"/>
      <name val="Arial Rounded MT Bold"/>
      <family val="2"/>
    </font>
    <font>
      <sz val="12"/>
      <color rgb="FF000000"/>
      <name val="Arial Rounded MT Bold"/>
      <family val="2"/>
    </font>
    <font>
      <sz val="12"/>
      <color rgb="FFFF0000"/>
      <name val="Arial Rounded MT Bold"/>
      <family val="2"/>
    </font>
    <font>
      <sz val="11"/>
      <color theme="1"/>
      <name val="Arial Rounded MT Bold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Arial Rounded MT Bold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/>
    <xf numFmtId="9" fontId="2" fillId="0" borderId="4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4" fontId="2" fillId="0" borderId="4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164" fontId="2" fillId="0" borderId="4" xfId="2" applyNumberFormat="1" applyFont="1" applyBorder="1" applyAlignment="1">
      <alignment horizontal="right" vertical="center" wrapText="1"/>
    </xf>
    <xf numFmtId="44" fontId="2" fillId="2" borderId="4" xfId="0" applyNumberFormat="1" applyFont="1" applyFill="1" applyBorder="1" applyAlignment="1">
      <alignment horizontal="center" vertical="center" wrapText="1"/>
    </xf>
    <xf numFmtId="44" fontId="2" fillId="0" borderId="4" xfId="0" applyNumberFormat="1" applyFont="1" applyBorder="1" applyAlignment="1">
      <alignment horizontal="center" vertical="center" wrapText="1"/>
    </xf>
    <xf numFmtId="0" fontId="7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44" fontId="4" fillId="3" borderId="8" xfId="1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9" fillId="0" borderId="0" xfId="0" applyFont="1"/>
    <xf numFmtId="0" fontId="0" fillId="0" borderId="10" xfId="0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9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4B2C-4BE9-4187-BE5D-CB358727BD91}">
  <dimension ref="A1:G23"/>
  <sheetViews>
    <sheetView zoomScale="120" zoomScaleNormal="120" workbookViewId="0">
      <selection activeCell="B11" sqref="B11:B14"/>
    </sheetView>
  </sheetViews>
  <sheetFormatPr defaultRowHeight="14.4" x14ac:dyDescent="0.3"/>
  <cols>
    <col min="1" max="1" width="5" bestFit="1" customWidth="1"/>
    <col min="2" max="2" width="22.33203125" bestFit="1" customWidth="1"/>
    <col min="3" max="3" width="2.21875" customWidth="1"/>
    <col min="4" max="4" width="48.33203125" bestFit="1" customWidth="1"/>
    <col min="6" max="6" width="2.6640625" customWidth="1"/>
    <col min="7" max="7" width="48.21875" bestFit="1" customWidth="1"/>
  </cols>
  <sheetData>
    <row r="1" spans="1:7" x14ac:dyDescent="0.3">
      <c r="A1" t="s">
        <v>94</v>
      </c>
    </row>
    <row r="2" spans="1:7" x14ac:dyDescent="0.3">
      <c r="B2" t="s">
        <v>44</v>
      </c>
      <c r="D2" t="s">
        <v>56</v>
      </c>
      <c r="G2" s="33" t="s">
        <v>80</v>
      </c>
    </row>
    <row r="3" spans="1:7" x14ac:dyDescent="0.3">
      <c r="G3" s="34" t="s">
        <v>81</v>
      </c>
    </row>
    <row r="4" spans="1:7" x14ac:dyDescent="0.3">
      <c r="B4" s="18" t="s">
        <v>45</v>
      </c>
      <c r="D4" t="s">
        <v>57</v>
      </c>
      <c r="G4" s="34" t="s">
        <v>82</v>
      </c>
    </row>
    <row r="5" spans="1:7" x14ac:dyDescent="0.3">
      <c r="B5" t="s">
        <v>46</v>
      </c>
      <c r="G5" s="35" t="s">
        <v>83</v>
      </c>
    </row>
    <row r="6" spans="1:7" x14ac:dyDescent="0.3">
      <c r="B6" t="s">
        <v>47</v>
      </c>
      <c r="D6" s="23" t="s">
        <v>58</v>
      </c>
    </row>
    <row r="7" spans="1:7" x14ac:dyDescent="0.3">
      <c r="B7" t="s">
        <v>48</v>
      </c>
      <c r="D7" s="27" t="s">
        <v>59</v>
      </c>
      <c r="E7" s="39" t="s">
        <v>60</v>
      </c>
      <c r="G7" s="31" t="s">
        <v>84</v>
      </c>
    </row>
    <row r="8" spans="1:7" x14ac:dyDescent="0.3">
      <c r="B8" t="s">
        <v>49</v>
      </c>
      <c r="D8" s="28" t="s">
        <v>61</v>
      </c>
      <c r="E8" s="40"/>
      <c r="G8" s="31" t="s">
        <v>85</v>
      </c>
    </row>
    <row r="9" spans="1:7" x14ac:dyDescent="0.3">
      <c r="D9" s="28" t="s">
        <v>62</v>
      </c>
      <c r="E9" s="40"/>
      <c r="G9" s="31" t="s">
        <v>86</v>
      </c>
    </row>
    <row r="10" spans="1:7" x14ac:dyDescent="0.3">
      <c r="B10" s="18" t="s">
        <v>50</v>
      </c>
      <c r="D10" s="29" t="s">
        <v>63</v>
      </c>
      <c r="E10" s="41"/>
    </row>
    <row r="11" spans="1:7" x14ac:dyDescent="0.3">
      <c r="B11" t="s">
        <v>51</v>
      </c>
      <c r="D11" s="30" t="s">
        <v>64</v>
      </c>
      <c r="E11" s="32" t="s">
        <v>65</v>
      </c>
      <c r="G11" s="31" t="s">
        <v>87</v>
      </c>
    </row>
    <row r="12" spans="1:7" x14ac:dyDescent="0.3">
      <c r="B12" t="s">
        <v>52</v>
      </c>
      <c r="D12" s="27" t="s">
        <v>66</v>
      </c>
      <c r="E12" s="42" t="s">
        <v>67</v>
      </c>
      <c r="G12" s="31" t="s">
        <v>95</v>
      </c>
    </row>
    <row r="13" spans="1:7" x14ac:dyDescent="0.3">
      <c r="B13" t="s">
        <v>53</v>
      </c>
      <c r="D13" s="28" t="s">
        <v>68</v>
      </c>
      <c r="E13" s="43"/>
      <c r="G13" s="31" t="s">
        <v>88</v>
      </c>
    </row>
    <row r="14" spans="1:7" x14ac:dyDescent="0.3">
      <c r="B14" t="s">
        <v>49</v>
      </c>
      <c r="D14" s="28" t="s">
        <v>69</v>
      </c>
      <c r="E14" s="43"/>
    </row>
    <row r="15" spans="1:7" x14ac:dyDescent="0.3">
      <c r="D15" s="29" t="s">
        <v>70</v>
      </c>
      <c r="E15" s="44"/>
      <c r="G15" s="33" t="s">
        <v>96</v>
      </c>
    </row>
    <row r="16" spans="1:7" x14ac:dyDescent="0.3">
      <c r="D16" s="24" t="s">
        <v>71</v>
      </c>
      <c r="G16" s="34" t="s">
        <v>89</v>
      </c>
    </row>
    <row r="17" spans="4:7" x14ac:dyDescent="0.3">
      <c r="D17" s="25" t="s">
        <v>72</v>
      </c>
      <c r="G17" s="34" t="s">
        <v>90</v>
      </c>
    </row>
    <row r="18" spans="4:7" x14ac:dyDescent="0.3">
      <c r="D18" s="25" t="s">
        <v>73</v>
      </c>
      <c r="G18" s="35" t="s">
        <v>91</v>
      </c>
    </row>
    <row r="19" spans="4:7" x14ac:dyDescent="0.3">
      <c r="D19" s="25" t="s">
        <v>74</v>
      </c>
    </row>
    <row r="20" spans="4:7" x14ac:dyDescent="0.3">
      <c r="D20" s="25" t="s">
        <v>75</v>
      </c>
      <c r="G20" s="31" t="s">
        <v>92</v>
      </c>
    </row>
    <row r="21" spans="4:7" x14ac:dyDescent="0.3">
      <c r="D21" s="25" t="s">
        <v>76</v>
      </c>
      <c r="G21" s="31" t="s">
        <v>93</v>
      </c>
    </row>
    <row r="22" spans="4:7" x14ac:dyDescent="0.3">
      <c r="D22" s="25" t="s">
        <v>77</v>
      </c>
    </row>
    <row r="23" spans="4:7" x14ac:dyDescent="0.3">
      <c r="D23" s="26" t="s">
        <v>78</v>
      </c>
    </row>
  </sheetData>
  <mergeCells count="2">
    <mergeCell ref="E7:E10"/>
    <mergeCell ref="E12:E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90" zoomScaleNormal="90" workbookViewId="0"/>
  </sheetViews>
  <sheetFormatPr defaultRowHeight="14.4" x14ac:dyDescent="0.3"/>
  <cols>
    <col min="1" max="1" width="5.5546875" bestFit="1" customWidth="1"/>
    <col min="2" max="2" width="7.77734375" customWidth="1"/>
    <col min="3" max="3" width="61.109375" bestFit="1" customWidth="1"/>
    <col min="5" max="5" width="6.6640625" customWidth="1"/>
    <col min="6" max="6" width="12.6640625" bestFit="1" customWidth="1"/>
    <col min="7" max="7" width="12.77734375" bestFit="1" customWidth="1"/>
    <col min="8" max="8" width="7.44140625" customWidth="1"/>
    <col min="9" max="9" width="11.44140625" customWidth="1"/>
    <col min="10" max="10" width="7" customWidth="1"/>
    <col min="11" max="11" width="12.6640625" bestFit="1" customWidth="1"/>
    <col min="12" max="12" width="19" customWidth="1"/>
    <col min="13" max="13" width="47.33203125" bestFit="1" customWidth="1"/>
    <col min="14" max="14" width="45.44140625" customWidth="1"/>
    <col min="15" max="15" width="41.109375" customWidth="1"/>
  </cols>
  <sheetData>
    <row r="1" spans="1:13" ht="15" thickBot="1" x14ac:dyDescent="0.35">
      <c r="A1" t="s">
        <v>94</v>
      </c>
    </row>
    <row r="2" spans="1:13" ht="15" thickBot="1" x14ac:dyDescent="0.35">
      <c r="B2" s="1"/>
      <c r="D2" s="48" t="s">
        <v>60</v>
      </c>
      <c r="E2" s="49"/>
      <c r="F2" s="49"/>
      <c r="G2" s="49"/>
      <c r="H2" s="50"/>
      <c r="I2" s="38" t="s">
        <v>65</v>
      </c>
      <c r="J2" s="48" t="s">
        <v>67</v>
      </c>
      <c r="K2" s="49"/>
      <c r="L2" s="50"/>
    </row>
    <row r="3" spans="1:13" ht="15" customHeight="1" thickBot="1" x14ac:dyDescent="0.35">
      <c r="B3" s="2" t="s">
        <v>37</v>
      </c>
      <c r="C3" s="3" t="s">
        <v>0</v>
      </c>
      <c r="D3" s="36" t="s">
        <v>1</v>
      </c>
      <c r="E3" s="36" t="s">
        <v>2</v>
      </c>
      <c r="F3" s="36" t="s">
        <v>42</v>
      </c>
      <c r="G3" s="36" t="s">
        <v>43</v>
      </c>
      <c r="H3" s="36" t="s">
        <v>3</v>
      </c>
      <c r="I3" s="37" t="s">
        <v>4</v>
      </c>
      <c r="J3" s="36" t="s">
        <v>5</v>
      </c>
      <c r="K3" s="36" t="s">
        <v>6</v>
      </c>
      <c r="L3" s="37" t="s">
        <v>7</v>
      </c>
      <c r="M3" s="3" t="s">
        <v>8</v>
      </c>
    </row>
    <row r="4" spans="1:13" ht="15" customHeight="1" thickBot="1" x14ac:dyDescent="0.35">
      <c r="B4" s="4">
        <v>11</v>
      </c>
      <c r="C4" s="19" t="s">
        <v>9</v>
      </c>
      <c r="D4" s="5" t="s">
        <v>97</v>
      </c>
      <c r="E4" s="10">
        <v>0.35</v>
      </c>
      <c r="F4" s="13">
        <v>10000</v>
      </c>
      <c r="G4" s="13">
        <v>43000</v>
      </c>
      <c r="H4" s="15">
        <f t="shared" ref="H4:H9" si="0">F4/G4</f>
        <v>0.23255813953488372</v>
      </c>
      <c r="I4" s="11" t="s">
        <v>48</v>
      </c>
      <c r="J4" s="10">
        <v>0.2</v>
      </c>
      <c r="K4" s="13">
        <v>7000</v>
      </c>
      <c r="L4" s="16">
        <f>J4*K4</f>
        <v>1400</v>
      </c>
      <c r="M4" s="5" t="s">
        <v>10</v>
      </c>
    </row>
    <row r="5" spans="1:13" ht="15" customHeight="1" thickBot="1" x14ac:dyDescent="0.35">
      <c r="B5" s="4">
        <v>19</v>
      </c>
      <c r="C5" s="19" t="s">
        <v>11</v>
      </c>
      <c r="D5" s="5" t="s">
        <v>97</v>
      </c>
      <c r="E5" s="10">
        <v>0.4</v>
      </c>
      <c r="F5" s="13">
        <v>6000</v>
      </c>
      <c r="G5" s="13">
        <v>37000</v>
      </c>
      <c r="H5" s="15">
        <f t="shared" si="0"/>
        <v>0.16216216216216217</v>
      </c>
      <c r="I5" s="11" t="s">
        <v>48</v>
      </c>
      <c r="J5" s="10">
        <v>0.4</v>
      </c>
      <c r="K5" s="17">
        <v>4500</v>
      </c>
      <c r="L5" s="16">
        <f>J5*K5</f>
        <v>1800</v>
      </c>
      <c r="M5" s="5" t="s">
        <v>12</v>
      </c>
    </row>
    <row r="6" spans="1:13" ht="15" customHeight="1" thickBot="1" x14ac:dyDescent="0.35">
      <c r="B6" s="4">
        <v>22</v>
      </c>
      <c r="C6" s="19" t="s">
        <v>13</v>
      </c>
      <c r="D6" s="5" t="s">
        <v>97</v>
      </c>
      <c r="E6" s="10">
        <v>0.5</v>
      </c>
      <c r="F6" s="13">
        <v>8000</v>
      </c>
      <c r="G6" s="13">
        <v>55000</v>
      </c>
      <c r="H6" s="15">
        <f t="shared" si="0"/>
        <v>0.14545454545454545</v>
      </c>
      <c r="I6" s="11" t="s">
        <v>47</v>
      </c>
      <c r="J6" s="10">
        <v>0.3</v>
      </c>
      <c r="K6" s="13">
        <v>8000</v>
      </c>
      <c r="L6" s="16">
        <f>J6*K6</f>
        <v>2400</v>
      </c>
      <c r="M6" s="5" t="s">
        <v>14</v>
      </c>
    </row>
    <row r="7" spans="1:13" ht="15" customHeight="1" thickBot="1" x14ac:dyDescent="0.35">
      <c r="B7" s="4">
        <v>28</v>
      </c>
      <c r="C7" s="19" t="s">
        <v>15</v>
      </c>
      <c r="D7" s="5" t="s">
        <v>97</v>
      </c>
      <c r="E7" s="10">
        <v>0.2</v>
      </c>
      <c r="F7" s="13">
        <v>15000</v>
      </c>
      <c r="G7" s="13">
        <v>25000</v>
      </c>
      <c r="H7" s="15">
        <f t="shared" si="0"/>
        <v>0.6</v>
      </c>
      <c r="I7" s="11" t="s">
        <v>49</v>
      </c>
      <c r="J7" s="10">
        <f>E7</f>
        <v>0.2</v>
      </c>
      <c r="K7" s="17">
        <f>F7</f>
        <v>15000</v>
      </c>
      <c r="L7" s="16">
        <f>J7*K7</f>
        <v>3000</v>
      </c>
      <c r="M7" s="5" t="s">
        <v>16</v>
      </c>
    </row>
    <row r="8" spans="1:13" ht="15" customHeight="1" thickBot="1" x14ac:dyDescent="0.35">
      <c r="B8" s="4">
        <v>31</v>
      </c>
      <c r="C8" s="19" t="s">
        <v>17</v>
      </c>
      <c r="D8" s="5" t="s">
        <v>98</v>
      </c>
      <c r="E8" s="10">
        <v>0.05</v>
      </c>
      <c r="F8" s="13">
        <v>4000</v>
      </c>
      <c r="G8" s="13">
        <v>21000</v>
      </c>
      <c r="H8" s="15">
        <f t="shared" si="0"/>
        <v>0.19047619047619047</v>
      </c>
      <c r="I8" s="11" t="s">
        <v>53</v>
      </c>
      <c r="J8" s="10">
        <v>0.05</v>
      </c>
      <c r="K8" s="13">
        <v>5000</v>
      </c>
      <c r="L8" s="16">
        <f>-J8*K8</f>
        <v>-250</v>
      </c>
      <c r="M8" s="5" t="s">
        <v>18</v>
      </c>
    </row>
    <row r="9" spans="1:13" ht="15" customHeight="1" thickBot="1" x14ac:dyDescent="0.35">
      <c r="B9" s="4">
        <v>44</v>
      </c>
      <c r="C9" s="19" t="s">
        <v>38</v>
      </c>
      <c r="D9" s="5" t="s">
        <v>97</v>
      </c>
      <c r="E9" s="10">
        <v>0.4</v>
      </c>
      <c r="F9" s="13">
        <v>12000</v>
      </c>
      <c r="G9" s="13">
        <v>50000</v>
      </c>
      <c r="H9" s="15">
        <f t="shared" si="0"/>
        <v>0.24</v>
      </c>
      <c r="I9" s="11" t="s">
        <v>46</v>
      </c>
      <c r="J9" s="10">
        <v>0</v>
      </c>
      <c r="K9" s="13">
        <f>F9</f>
        <v>12000</v>
      </c>
      <c r="L9" s="16">
        <f>J9*K9</f>
        <v>0</v>
      </c>
      <c r="M9" s="5" t="s">
        <v>10</v>
      </c>
    </row>
    <row r="10" spans="1:13" ht="15" customHeight="1" thickBot="1" x14ac:dyDescent="0.35">
      <c r="B10" s="4">
        <v>47</v>
      </c>
      <c r="C10" s="19" t="s">
        <v>19</v>
      </c>
      <c r="D10" s="5"/>
      <c r="E10" s="5"/>
      <c r="F10" s="13"/>
      <c r="G10" s="13"/>
      <c r="H10" s="15"/>
      <c r="I10" s="11"/>
      <c r="J10" s="5"/>
      <c r="K10" s="13"/>
      <c r="L10" s="11"/>
      <c r="M10" s="5" t="s">
        <v>20</v>
      </c>
    </row>
    <row r="11" spans="1:13" ht="15" customHeight="1" thickBot="1" x14ac:dyDescent="0.35">
      <c r="B11" s="4">
        <v>52</v>
      </c>
      <c r="C11" s="19" t="s">
        <v>21</v>
      </c>
      <c r="D11" s="5"/>
      <c r="E11" s="5"/>
      <c r="F11" s="13"/>
      <c r="G11" s="13"/>
      <c r="H11" s="15"/>
      <c r="I11" s="11"/>
      <c r="J11" s="5"/>
      <c r="K11" s="13"/>
      <c r="L11" s="11"/>
      <c r="M11" s="5" t="s">
        <v>22</v>
      </c>
    </row>
    <row r="12" spans="1:13" ht="15" customHeight="1" thickBot="1" x14ac:dyDescent="0.35">
      <c r="B12" s="4">
        <v>53</v>
      </c>
      <c r="C12" s="19" t="s">
        <v>23</v>
      </c>
      <c r="D12" s="5"/>
      <c r="E12" s="5"/>
      <c r="F12" s="13"/>
      <c r="G12" s="13"/>
      <c r="H12" s="15"/>
      <c r="I12" s="11"/>
      <c r="J12" s="5"/>
      <c r="K12" s="13"/>
      <c r="L12" s="11"/>
      <c r="M12" s="5" t="s">
        <v>24</v>
      </c>
    </row>
    <row r="13" spans="1:13" ht="15" customHeight="1" thickBot="1" x14ac:dyDescent="0.35">
      <c r="B13" s="4">
        <v>55</v>
      </c>
      <c r="C13" s="19" t="s">
        <v>25</v>
      </c>
      <c r="D13" s="5"/>
      <c r="E13" s="5"/>
      <c r="F13" s="13"/>
      <c r="G13" s="13"/>
      <c r="H13" s="15"/>
      <c r="I13" s="11"/>
      <c r="J13" s="5"/>
      <c r="K13" s="13"/>
      <c r="L13" s="11"/>
      <c r="M13" s="5" t="s">
        <v>26</v>
      </c>
    </row>
    <row r="14" spans="1:13" ht="15" customHeight="1" thickBot="1" x14ac:dyDescent="0.35">
      <c r="B14" s="4">
        <v>64</v>
      </c>
      <c r="C14" s="19" t="s">
        <v>27</v>
      </c>
      <c r="D14" s="5"/>
      <c r="E14" s="5"/>
      <c r="F14" s="13"/>
      <c r="G14" s="13"/>
      <c r="H14" s="15"/>
      <c r="I14" s="11"/>
      <c r="J14" s="5"/>
      <c r="K14" s="13"/>
      <c r="L14" s="11"/>
      <c r="M14" s="5" t="s">
        <v>28</v>
      </c>
    </row>
    <row r="15" spans="1:13" ht="15" customHeight="1" thickBot="1" x14ac:dyDescent="0.35">
      <c r="B15" s="4">
        <v>79</v>
      </c>
      <c r="C15" s="19" t="s">
        <v>29</v>
      </c>
      <c r="D15" s="5"/>
      <c r="E15" s="5"/>
      <c r="F15" s="13"/>
      <c r="G15" s="13"/>
      <c r="H15" s="15"/>
      <c r="I15" s="11"/>
      <c r="J15" s="5"/>
      <c r="K15" s="13"/>
      <c r="L15" s="11"/>
      <c r="M15" s="5" t="s">
        <v>30</v>
      </c>
    </row>
    <row r="16" spans="1:13" ht="15" customHeight="1" thickBot="1" x14ac:dyDescent="0.35">
      <c r="B16" s="4">
        <v>81</v>
      </c>
      <c r="C16" s="19" t="s">
        <v>31</v>
      </c>
      <c r="D16" s="5"/>
      <c r="E16" s="5"/>
      <c r="F16" s="13"/>
      <c r="G16" s="13"/>
      <c r="H16" s="15"/>
      <c r="I16" s="11"/>
      <c r="J16" s="5"/>
      <c r="K16" s="13"/>
      <c r="L16" s="11"/>
      <c r="M16" s="5" t="s">
        <v>32</v>
      </c>
    </row>
    <row r="17" spans="2:14" ht="15" customHeight="1" thickBot="1" x14ac:dyDescent="0.35">
      <c r="B17" s="4">
        <v>94</v>
      </c>
      <c r="C17" s="19" t="s">
        <v>33</v>
      </c>
      <c r="D17" s="5"/>
      <c r="E17" s="5"/>
      <c r="F17" s="13"/>
      <c r="G17" s="13"/>
      <c r="H17" s="15"/>
      <c r="I17" s="11"/>
      <c r="J17" s="5"/>
      <c r="K17" s="13"/>
      <c r="L17" s="11"/>
      <c r="M17" s="5" t="s">
        <v>34</v>
      </c>
    </row>
    <row r="18" spans="2:14" ht="15" customHeight="1" thickBot="1" x14ac:dyDescent="0.35">
      <c r="B18" s="7">
        <v>99</v>
      </c>
      <c r="C18" s="20" t="s">
        <v>35</v>
      </c>
      <c r="D18" s="8"/>
      <c r="E18" s="8"/>
      <c r="F18" s="14"/>
      <c r="G18" s="14"/>
      <c r="H18" s="15"/>
      <c r="I18" s="12"/>
      <c r="J18" s="8"/>
      <c r="K18" s="14"/>
      <c r="L18" s="12"/>
      <c r="M18" s="8" t="s">
        <v>36</v>
      </c>
    </row>
    <row r="19" spans="2:14" ht="20.100000000000001" customHeight="1" thickBot="1" x14ac:dyDescent="0.35">
      <c r="B19" s="45" t="s">
        <v>39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22">
        <f>SUM(L4:L18)</f>
        <v>8350</v>
      </c>
      <c r="N19" s="21"/>
    </row>
    <row r="20" spans="2:14" ht="19.2" customHeight="1" thickBot="1" x14ac:dyDescent="0.35">
      <c r="B20" s="45" t="s">
        <v>54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22">
        <f>L8</f>
        <v>-250</v>
      </c>
      <c r="N20" s="6"/>
    </row>
    <row r="21" spans="2:14" x14ac:dyDescent="0.3">
      <c r="B21" s="47" t="s">
        <v>55</v>
      </c>
      <c r="C21" s="47"/>
      <c r="F21" t="s">
        <v>99</v>
      </c>
    </row>
    <row r="23" spans="2:14" x14ac:dyDescent="0.3">
      <c r="B23" s="9" t="s">
        <v>40</v>
      </c>
      <c r="D23" t="s">
        <v>79</v>
      </c>
    </row>
    <row r="24" spans="2:14" x14ac:dyDescent="0.3">
      <c r="B24" s="9" t="s">
        <v>41</v>
      </c>
    </row>
  </sheetData>
  <mergeCells count="5">
    <mergeCell ref="B19:L19"/>
    <mergeCell ref="B20:L20"/>
    <mergeCell ref="B21:C21"/>
    <mergeCell ref="D2:H2"/>
    <mergeCell ref="J2:L2"/>
  </mergeCells>
  <conditionalFormatting sqref="L4:L18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e2da58f-a220-4add-9fb2-0fc80dcff8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534394F008DC4397253C669199C39A" ma:contentTypeVersion="4" ma:contentTypeDescription="Crie um novo documento." ma:contentTypeScope="" ma:versionID="ff74f3f8449841504a09bf0242e6d52d">
  <xsd:schema xmlns:xsd="http://www.w3.org/2001/XMLSchema" xmlns:xs="http://www.w3.org/2001/XMLSchema" xmlns:p="http://schemas.microsoft.com/office/2006/metadata/properties" xmlns:ns2="2e2da58f-a220-4add-9fb2-0fc80dcff8d4" targetNamespace="http://schemas.microsoft.com/office/2006/metadata/properties" ma:root="true" ma:fieldsID="4437befb65765e701d0cd862522c4d1b" ns2:_="">
    <xsd:import namespace="2e2da58f-a220-4add-9fb2-0fc80dcff8d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da58f-a220-4add-9fb2-0fc80dcff8d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8FFDA3-2171-4B61-895E-01CF1C7724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CFFBA4-14AD-4AD1-B64D-5FD2101B02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AA0506-53D8-426E-9167-C279CB0C6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Riscos</vt:lpstr>
      <vt:lpstr>Contingência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2024-05-21T16:46:01Z</dcterms:created>
  <dcterms:modified xsi:type="dcterms:W3CDTF">2025-11-07T13:19:10Z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0x0101008C534394F008DC4397253C669199C39A</vt:lpwstr>
  </property>
</Properties>
</file>