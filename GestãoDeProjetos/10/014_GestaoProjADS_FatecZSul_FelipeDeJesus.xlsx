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\Documents\MEGA\FATEC\6° semestre\Gestão de Projetos\10\"/>
    </mc:Choice>
  </mc:AlternateContent>
  <xr:revisionPtr revIDLastSave="0" documentId="13_ncr:1_{471138A9-ABC1-4C62-B004-FD8124F54846}" xr6:coauthVersionLast="47" xr6:coauthVersionMax="47" xr10:uidLastSave="{00000000-0000-0000-0000-000000000000}"/>
  <bookViews>
    <workbookView xWindow="-120" yWindow="-120" windowWidth="20640" windowHeight="11760" activeTab="1" xr2:uid="{473E0E97-9434-4427-967B-C7320F97C609}"/>
  </bookViews>
  <sheets>
    <sheet name="Alambrado_R$" sheetId="3" r:id="rId1"/>
    <sheet name="Curva_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4" l="1"/>
  <c r="J4" i="4"/>
  <c r="K5" i="4"/>
  <c r="I4" i="4"/>
  <c r="K4" i="4"/>
  <c r="K12" i="3"/>
  <c r="K5" i="3"/>
  <c r="I9" i="4" l="1"/>
  <c r="I8" i="4"/>
  <c r="I7" i="4"/>
  <c r="I6" i="4"/>
  <c r="I5" i="4"/>
  <c r="C10" i="3"/>
  <c r="J2" i="3" s="1"/>
  <c r="K9" i="4"/>
  <c r="K8" i="4"/>
  <c r="K7" i="4"/>
  <c r="K6" i="4"/>
  <c r="J9" i="4"/>
  <c r="J8" i="4"/>
  <c r="J7" i="4"/>
  <c r="J6" i="4"/>
  <c r="K6" i="3"/>
  <c r="E10" i="3"/>
  <c r="F4" i="4"/>
  <c r="D9" i="4"/>
  <c r="F9" i="4" s="1"/>
  <c r="D8" i="4"/>
  <c r="F8" i="4" s="1"/>
  <c r="D7" i="4"/>
  <c r="F7" i="4" s="1"/>
  <c r="D6" i="4"/>
  <c r="F6" i="4" s="1"/>
  <c r="D5" i="4"/>
  <c r="F5" i="4" s="1"/>
  <c r="D4" i="4"/>
  <c r="A4" i="4"/>
  <c r="A5" i="4" s="1"/>
  <c r="A6" i="4" s="1"/>
  <c r="A7" i="4" s="1"/>
  <c r="A8" i="4" s="1"/>
  <c r="D3" i="4"/>
  <c r="F3" i="4" s="1"/>
  <c r="G8" i="3"/>
  <c r="G9" i="3"/>
  <c r="F10" i="3"/>
  <c r="E9" i="3"/>
  <c r="K14" i="3" l="1"/>
  <c r="E8" i="3"/>
  <c r="E7" i="3"/>
  <c r="G7" i="3" s="1"/>
  <c r="B4" i="3"/>
  <c r="B5" i="3" s="1"/>
  <c r="B6" i="3" s="1"/>
  <c r="B7" i="3" s="1"/>
  <c r="B8" i="3" s="1"/>
  <c r="E5" i="3"/>
  <c r="G5" i="3" s="1"/>
  <c r="E6" i="3"/>
  <c r="G6" i="3" s="1"/>
  <c r="E3" i="3"/>
  <c r="G3" i="3"/>
  <c r="E4" i="3"/>
  <c r="G4" i="3" s="1"/>
  <c r="G10" i="3" l="1"/>
  <c r="K9" i="3" l="1"/>
  <c r="K10" i="3"/>
  <c r="K13" i="3" l="1"/>
</calcChain>
</file>

<file path=xl/sharedStrings.xml><?xml version="1.0" encoding="utf-8"?>
<sst xmlns="http://schemas.openxmlformats.org/spreadsheetml/2006/main" count="53" uniqueCount="43">
  <si>
    <t>Tarefa</t>
  </si>
  <si>
    <t>VP</t>
  </si>
  <si>
    <t>VA</t>
  </si>
  <si>
    <t>%VA</t>
  </si>
  <si>
    <t>CR</t>
  </si>
  <si>
    <t>ONT</t>
  </si>
  <si>
    <t>Acc</t>
  </si>
  <si>
    <t>Custo</t>
  </si>
  <si>
    <t>VC</t>
  </si>
  <si>
    <t>IDC</t>
  </si>
  <si>
    <t>VA-CR</t>
  </si>
  <si>
    <t>VA/CR</t>
  </si>
  <si>
    <t>&gt;1 , gastando menos; &lt;1, gastando mais</t>
  </si>
  <si>
    <t>Prazo</t>
  </si>
  <si>
    <t>VPR</t>
  </si>
  <si>
    <t>IDP</t>
  </si>
  <si>
    <t>VA-VP</t>
  </si>
  <si>
    <t>VA/VP</t>
  </si>
  <si>
    <t>&gt;0, adiantado; &lt;0, atrasado</t>
  </si>
  <si>
    <t>&gt;1, adiantado; &lt;1, atrasado.</t>
  </si>
  <si>
    <t>ENT</t>
  </si>
  <si>
    <t>ONT/IDC</t>
  </si>
  <si>
    <t>EPT</t>
  </si>
  <si>
    <t>Faltam</t>
  </si>
  <si>
    <t>Novo ONT</t>
  </si>
  <si>
    <t>ENT-CR</t>
  </si>
  <si>
    <t>VCN</t>
  </si>
  <si>
    <t>ONT-ENT</t>
  </si>
  <si>
    <t>Se + economia; se - põe dinheiro</t>
  </si>
  <si>
    <t>Acumulado</t>
  </si>
  <si>
    <t>Como referência VA.</t>
  </si>
  <si>
    <t>&gt;0, gastando menos; &lt;0, gastando mais</t>
  </si>
  <si>
    <t>Atenção! Está atrasado e com custo acima do previsto!</t>
  </si>
  <si>
    <t>Na curva, o VA está abaixo de VP, ou seja, VA &lt; VP, logo o projeto está atrasado em relação ao planejado.</t>
  </si>
  <si>
    <t>Na curva, o VA está abaixo de CR, ou seja, VA &lt; CR, indicando que o projeto está gastando mais do que entrega (sobre custo)</t>
  </si>
  <si>
    <t>7 e  8</t>
  </si>
  <si>
    <t>O projeto apresenta custo aparentemente maior (ver indicadores VC e IDC),</t>
  </si>
  <si>
    <t>e está atrasado (ver VPR e IDP).</t>
  </si>
  <si>
    <t>Possível argumentação também pela Curva S.</t>
  </si>
  <si>
    <t>É importante analisar com atenção, pois o atraso de cerca de 40% no VA afeta diretamente a eficiência dos custos</t>
  </si>
  <si>
    <t>O custo maior ocorre porque menos trabalho foi realizado até o momento,</t>
  </si>
  <si>
    <t>e não porque o projeto esteja mais caro, mas sim porque o valor entregue (VA) é menor que o planejado (VP).</t>
  </si>
  <si>
    <t>Cuidado! O projeto está atrasado e com custo acima do previsto!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</si>
</sst>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9" fontId="0" fillId="0" borderId="0" xfId="0" applyNumberFormat="1"/>
    <xf numFmtId="44" fontId="0" fillId="0" borderId="0" xfId="0" applyNumberFormat="1"/>
    <xf numFmtId="0" fontId="2" fillId="0" borderId="0" xfId="0" applyFont="1" applyAlignment="1">
      <alignment horizontal="center"/>
    </xf>
    <xf numFmtId="44" fontId="2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44" fontId="3" fillId="0" borderId="0" xfId="0" applyNumberFormat="1" applyFont="1"/>
    <xf numFmtId="0" fontId="0" fillId="0" borderId="0" xfId="0" applyFont="1"/>
    <xf numFmtId="2" fontId="3" fillId="0" borderId="0" xfId="0" applyNumberFormat="1" applyFont="1"/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2095906489949626E-2"/>
          <c:y val="0.13067248450483776"/>
          <c:w val="0.97301342766936738"/>
          <c:h val="0.70176513156253051"/>
        </c:manualLayout>
      </c:layout>
      <c:lineChart>
        <c:grouping val="standard"/>
        <c:varyColors val="0"/>
        <c:ser>
          <c:idx val="0"/>
          <c:order val="0"/>
          <c:tx>
            <c:strRef>
              <c:f>Curva_S!$I$3</c:f>
              <c:strCache>
                <c:ptCount val="1"/>
                <c:pt idx="0">
                  <c:v>VP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158278069649417"/>
                  <c:y val="-4.3165531274882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F4-4B51-A918-76C069C51DB6}"/>
                </c:ext>
              </c:extLst>
            </c:dLbl>
            <c:dLbl>
              <c:idx val="1"/>
              <c:layout>
                <c:manualLayout>
                  <c:x val="-8.9911632750716647E-2"/>
                  <c:y val="-8.7054016446847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F4-4B51-A918-76C069C51DB6}"/>
                </c:ext>
              </c:extLst>
            </c:dLbl>
            <c:dLbl>
              <c:idx val="2"/>
              <c:layout>
                <c:manualLayout>
                  <c:x val="2.2952836811467123E-2"/>
                  <c:y val="2.6194089610881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F4-4B51-A918-76C069C51DB6}"/>
                </c:ext>
              </c:extLst>
            </c:dLbl>
            <c:dLbl>
              <c:idx val="3"/>
              <c:layout>
                <c:manualLayout>
                  <c:x val="3.9914636483691632E-2"/>
                  <c:y val="9.3659046724604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7A-44FC-9A94-794BE0E4F951}"/>
                </c:ext>
              </c:extLst>
            </c:dLbl>
            <c:dLbl>
              <c:idx val="4"/>
              <c:layout>
                <c:manualLayout>
                  <c:x val="4.8794494807510767E-2"/>
                  <c:y val="5.97921586508687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7A-44FC-9A94-794BE0E4F951}"/>
                </c:ext>
              </c:extLst>
            </c:dLbl>
            <c:dLbl>
              <c:idx val="5"/>
              <c:layout>
                <c:manualLayout>
                  <c:x val="-3.7607673574983516E-3"/>
                  <c:y val="-2.318127476934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7A-44FC-9A94-794BE0E4F9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Curva_S!$I$4:$I$9</c:f>
              <c:numCache>
                <c:formatCode>_("R$"* #,##0.00_);_("R$"* \(#,##0.00\);_("R$"* "-"??_);_(@_)</c:formatCode>
                <c:ptCount val="6"/>
                <c:pt idx="0">
                  <c:v>4500</c:v>
                </c:pt>
                <c:pt idx="1">
                  <c:v>7500</c:v>
                </c:pt>
                <c:pt idx="2">
                  <c:v>30500</c:v>
                </c:pt>
                <c:pt idx="3">
                  <c:v>42000</c:v>
                </c:pt>
                <c:pt idx="4">
                  <c:v>55800</c:v>
                </c:pt>
                <c:pt idx="5">
                  <c:v>64000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F4-4B51-A918-76C069C51DB6}"/>
            </c:ext>
          </c:extLst>
        </c:ser>
        <c:ser>
          <c:idx val="1"/>
          <c:order val="1"/>
          <c:tx>
            <c:strRef>
              <c:f>Curva_S!$J$3</c:f>
              <c:strCache>
                <c:ptCount val="1"/>
                <c:pt idx="0">
                  <c:v>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4208804030606752E-2"/>
                  <c:y val="4.15799826118053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F4-4B51-A918-76C069C51DB6}"/>
                </c:ext>
              </c:extLst>
            </c:dLbl>
            <c:dLbl>
              <c:idx val="1"/>
              <c:layout>
                <c:manualLayout>
                  <c:x val="1.6973829358286799E-2"/>
                  <c:y val="-3.830322897401623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F4-4B51-A918-76C069C51DB6}"/>
                </c:ext>
              </c:extLst>
            </c:dLbl>
            <c:dLbl>
              <c:idx val="2"/>
              <c:layout>
                <c:manualLayout>
                  <c:x val="-6.9102775196578758E-2"/>
                  <c:y val="7.37276247642040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F4-4B51-A918-76C069C51DB6}"/>
                </c:ext>
              </c:extLst>
            </c:dLbl>
            <c:dLbl>
              <c:idx val="3"/>
              <c:layout>
                <c:manualLayout>
                  <c:x val="-3.9785497740626757E-2"/>
                  <c:y val="4.46777942890263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7A-44FC-9A94-794BE0E4F951}"/>
                </c:ext>
              </c:extLst>
            </c:dLbl>
            <c:dLbl>
              <c:idx val="4"/>
              <c:layout>
                <c:manualLayout>
                  <c:x val="-3.0935511735941217E-2"/>
                  <c:y val="0.105298797460170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7A-44FC-9A94-794BE0E4F951}"/>
                </c:ext>
              </c:extLst>
            </c:dLbl>
            <c:dLbl>
              <c:idx val="5"/>
              <c:layout>
                <c:manualLayout>
                  <c:x val="-1.3560242170816484E-2"/>
                  <c:y val="3.31681854374944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7A-44FC-9A94-794BE0E4F9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Curva_S!$J$4:$J$9</c:f>
              <c:numCache>
                <c:formatCode>_("R$"* #,##0.00_);_("R$"* \(#,##0.00\);_("R$"* "-"??_);_(@_)</c:formatCode>
                <c:ptCount val="6"/>
                <c:pt idx="0">
                  <c:v>4500</c:v>
                </c:pt>
                <c:pt idx="1">
                  <c:v>7500</c:v>
                </c:pt>
                <c:pt idx="2">
                  <c:v>30500</c:v>
                </c:pt>
                <c:pt idx="3">
                  <c:v>42000</c:v>
                </c:pt>
                <c:pt idx="4">
                  <c:v>51660</c:v>
                </c:pt>
                <c:pt idx="5">
                  <c:v>59040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DF4-4B51-A918-76C069C51DB6}"/>
            </c:ext>
          </c:extLst>
        </c:ser>
        <c:ser>
          <c:idx val="2"/>
          <c:order val="2"/>
          <c:tx>
            <c:strRef>
              <c:f>Curva_S!$K$3</c:f>
              <c:strCache>
                <c:ptCount val="1"/>
                <c:pt idx="0">
                  <c:v>CR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3853296844042775E-2"/>
                  <c:y val="-0.1797603086995284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F4-4B51-A918-76C069C51DB6}"/>
                </c:ext>
              </c:extLst>
            </c:dLbl>
            <c:dLbl>
              <c:idx val="1"/>
              <c:layout>
                <c:manualLayout>
                  <c:x val="2.2476552537208906E-2"/>
                  <c:y val="4.94412552385532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F4-4B51-A918-76C069C51DB6}"/>
                </c:ext>
              </c:extLst>
            </c:dLbl>
            <c:dLbl>
              <c:idx val="2"/>
              <c:layout>
                <c:manualLayout>
                  <c:x val="-6.3340180303549071E-2"/>
                  <c:y val="-0.10890376572126799"/>
                </c:manualLayout>
              </c:layout>
              <c:tx>
                <c:rich>
                  <a:bodyPr/>
                  <a:lstStyle/>
                  <a:p>
                    <a:fld id="{1212D56C-21C7-42C9-B452-C38D5289135F}" type="VALUE">
                      <a:rPr lang="en-US" b="0"/>
                      <a:pPr/>
                      <a:t>[VALOR]</a:t>
                    </a:fld>
                    <a:endParaRPr lang="pt-BR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4DF4-4B51-A918-76C069C51DB6}"/>
                </c:ext>
              </c:extLst>
            </c:dLbl>
            <c:dLbl>
              <c:idx val="3"/>
              <c:layout>
                <c:manualLayout>
                  <c:x val="-6.1283643892339611E-2"/>
                  <c:y val="-8.2805814884953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7A-44FC-9A94-794BE0E4F951}"/>
                </c:ext>
              </c:extLst>
            </c:dLbl>
            <c:dLbl>
              <c:idx val="4"/>
              <c:layout>
                <c:manualLayout>
                  <c:x val="-0.10720395226182333"/>
                  <c:y val="-4.0467813174174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7A-44FC-9A94-794BE0E4F9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Curva_S!$K$4:$K$9</c:f>
              <c:numCache>
                <c:formatCode>_("R$"* #,##0.00_);_("R$"* \(#,##0.00\);_("R$"* "-"??_);_(@_)</c:formatCode>
                <c:ptCount val="6"/>
                <c:pt idx="0">
                  <c:v>5000</c:v>
                </c:pt>
                <c:pt idx="1">
                  <c:v>7500</c:v>
                </c:pt>
                <c:pt idx="2">
                  <c:v>34000</c:v>
                </c:pt>
                <c:pt idx="3">
                  <c:v>47000</c:v>
                </c:pt>
                <c:pt idx="4">
                  <c:v>58500</c:v>
                </c:pt>
                <c:pt idx="5">
                  <c:v>73500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DF4-4B51-A918-76C069C51DB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9948847"/>
        <c:axId val="1129950767"/>
      </c:lineChart>
      <c:catAx>
        <c:axId val="1129948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Tarefas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9950767"/>
        <c:crosses val="autoZero"/>
        <c:auto val="1"/>
        <c:lblAlgn val="ctr"/>
        <c:lblOffset val="100"/>
        <c:noMultiLvlLbl val="0"/>
      </c:catAx>
      <c:valAx>
        <c:axId val="11299507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Custo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2994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259079</xdr:colOff>
      <xdr:row>1</xdr:row>
      <xdr:rowOff>11430</xdr:rowOff>
    </xdr:from>
    <xdr:to>
      <xdr:col>24</xdr:col>
      <xdr:colOff>76200</xdr:colOff>
      <xdr:row>24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93C50B-64BB-A155-E84C-FDFBBA1E7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2EFD-0E88-4384-948F-707C1FE2B184}">
  <dimension ref="B2:L23"/>
  <sheetViews>
    <sheetView workbookViewId="0">
      <selection activeCell="I17" sqref="I17"/>
    </sheetView>
  </sheetViews>
  <sheetFormatPr defaultRowHeight="15" x14ac:dyDescent="0.25"/>
  <cols>
    <col min="1" max="1" width="2.7109375" customWidth="1"/>
    <col min="2" max="2" width="6.140625" bestFit="1" customWidth="1"/>
    <col min="3" max="3" width="13.28515625" bestFit="1" customWidth="1"/>
    <col min="5" max="5" width="21.28515625" customWidth="1"/>
    <col min="6" max="6" width="13.28515625" bestFit="1" customWidth="1"/>
    <col min="7" max="7" width="15" customWidth="1"/>
    <col min="8" max="8" width="3.85546875" customWidth="1"/>
    <col min="10" max="10" width="16.140625" customWidth="1"/>
    <col min="11" max="11" width="25" customWidth="1"/>
    <col min="12" max="12" width="13" customWidth="1"/>
    <col min="13" max="13" width="33.7109375" customWidth="1"/>
  </cols>
  <sheetData>
    <row r="2" spans="2:12" x14ac:dyDescent="0.25">
      <c r="B2" s="1" t="s">
        <v>0</v>
      </c>
      <c r="C2" s="1" t="s">
        <v>1</v>
      </c>
      <c r="D2" s="1" t="s">
        <v>3</v>
      </c>
      <c r="E2" s="5" t="s">
        <v>2</v>
      </c>
      <c r="F2" s="1" t="s">
        <v>4</v>
      </c>
      <c r="I2" s="5" t="s">
        <v>5</v>
      </c>
      <c r="J2" s="6">
        <f>C10 +C9</f>
        <v>104000</v>
      </c>
    </row>
    <row r="3" spans="2:12" x14ac:dyDescent="0.25">
      <c r="B3" s="1">
        <v>1</v>
      </c>
      <c r="C3" s="2">
        <v>4500</v>
      </c>
      <c r="D3" s="3">
        <v>1</v>
      </c>
      <c r="E3" s="6">
        <f>C3*D3</f>
        <v>4500</v>
      </c>
      <c r="F3" s="2">
        <v>5000</v>
      </c>
      <c r="G3" s="4">
        <f>F3-E3</f>
        <v>500</v>
      </c>
    </row>
    <row r="4" spans="2:12" x14ac:dyDescent="0.25">
      <c r="B4" s="1">
        <f>B3+1</f>
        <v>2</v>
      </c>
      <c r="C4" s="2">
        <v>3000</v>
      </c>
      <c r="D4" s="3">
        <v>1</v>
      </c>
      <c r="E4" s="6">
        <f>C4*D4</f>
        <v>3000</v>
      </c>
      <c r="F4" s="2">
        <v>2500</v>
      </c>
      <c r="G4" s="4">
        <f t="shared" ref="G4" si="0">F4-E4</f>
        <v>-500</v>
      </c>
      <c r="I4" s="1" t="s">
        <v>7</v>
      </c>
    </row>
    <row r="5" spans="2:12" x14ac:dyDescent="0.25">
      <c r="B5" s="8">
        <f t="shared" ref="B5:B8" si="1">B4+1</f>
        <v>3</v>
      </c>
      <c r="C5" s="2">
        <v>23000</v>
      </c>
      <c r="D5" s="3">
        <v>1</v>
      </c>
      <c r="E5" s="6">
        <f>C5*D5</f>
        <v>23000</v>
      </c>
      <c r="F5" s="2">
        <v>26500</v>
      </c>
      <c r="G5" s="4">
        <f t="shared" ref="G5" si="2">F5-E5</f>
        <v>3500</v>
      </c>
      <c r="I5" s="1" t="s">
        <v>8</v>
      </c>
      <c r="J5" s="1" t="s">
        <v>10</v>
      </c>
      <c r="K5" s="9">
        <f>E10-F10</f>
        <v>-14460</v>
      </c>
      <c r="L5" t="s">
        <v>31</v>
      </c>
    </row>
    <row r="6" spans="2:12" x14ac:dyDescent="0.25">
      <c r="B6" s="8">
        <f t="shared" si="1"/>
        <v>4</v>
      </c>
      <c r="C6" s="2">
        <v>11500</v>
      </c>
      <c r="D6" s="3">
        <v>1</v>
      </c>
      <c r="E6" s="6">
        <f t="shared" ref="E6" si="3">C6*D6</f>
        <v>11500</v>
      </c>
      <c r="F6" s="2">
        <v>13000</v>
      </c>
      <c r="G6" s="4">
        <f t="shared" ref="G6:G9" si="4">F6-E6</f>
        <v>1500</v>
      </c>
      <c r="I6" s="1" t="s">
        <v>9</v>
      </c>
      <c r="J6" s="1" t="s">
        <v>11</v>
      </c>
      <c r="K6" s="11">
        <f>E10/F10</f>
        <v>0.80326530612244895</v>
      </c>
      <c r="L6" t="s">
        <v>12</v>
      </c>
    </row>
    <row r="7" spans="2:12" x14ac:dyDescent="0.25">
      <c r="B7" s="8">
        <f t="shared" si="1"/>
        <v>5</v>
      </c>
      <c r="C7" s="2">
        <v>13800</v>
      </c>
      <c r="D7" s="3">
        <v>0.7</v>
      </c>
      <c r="E7" s="6">
        <f>C7*D7</f>
        <v>9660</v>
      </c>
      <c r="F7" s="2">
        <v>11500</v>
      </c>
      <c r="G7" s="4">
        <f t="shared" si="4"/>
        <v>1840</v>
      </c>
      <c r="J7" s="1"/>
    </row>
    <row r="8" spans="2:12" x14ac:dyDescent="0.25">
      <c r="B8" s="8">
        <f t="shared" si="1"/>
        <v>6</v>
      </c>
      <c r="C8" s="2">
        <v>8200</v>
      </c>
      <c r="D8" s="3">
        <v>0.9</v>
      </c>
      <c r="E8" s="6">
        <f>C8*D8</f>
        <v>7380</v>
      </c>
      <c r="F8" s="2">
        <v>15000</v>
      </c>
      <c r="G8" s="4">
        <f t="shared" si="4"/>
        <v>7620</v>
      </c>
      <c r="I8" s="1" t="s">
        <v>13</v>
      </c>
      <c r="J8" s="1"/>
    </row>
    <row r="9" spans="2:12" x14ac:dyDescent="0.25">
      <c r="B9" t="s">
        <v>35</v>
      </c>
      <c r="C9" s="2">
        <v>40000</v>
      </c>
      <c r="D9" s="3">
        <v>0</v>
      </c>
      <c r="E9" s="6">
        <f>C9*D9</f>
        <v>0</v>
      </c>
      <c r="F9" s="2">
        <v>0</v>
      </c>
      <c r="G9" s="4">
        <f t="shared" si="4"/>
        <v>0</v>
      </c>
      <c r="I9" s="1" t="s">
        <v>14</v>
      </c>
      <c r="J9" s="1" t="s">
        <v>16</v>
      </c>
      <c r="K9" s="9">
        <f>E10-C10</f>
        <v>-4960</v>
      </c>
      <c r="L9" t="s">
        <v>18</v>
      </c>
    </row>
    <row r="10" spans="2:12" x14ac:dyDescent="0.25">
      <c r="B10" s="8" t="s">
        <v>6</v>
      </c>
      <c r="C10" s="4">
        <f>SUM(C3:C8)</f>
        <v>64000</v>
      </c>
      <c r="E10" s="6">
        <f>SUM(E3:E9)</f>
        <v>59040</v>
      </c>
      <c r="F10" s="4">
        <f>SUM(F3:F9)</f>
        <v>73500</v>
      </c>
      <c r="G10" s="4">
        <f>SUM(G3:G8)</f>
        <v>14460</v>
      </c>
      <c r="I10" s="1" t="s">
        <v>15</v>
      </c>
      <c r="J10" s="1" t="s">
        <v>17</v>
      </c>
      <c r="K10" s="11">
        <f>E10/C10</f>
        <v>0.92249999999999999</v>
      </c>
      <c r="L10" t="s">
        <v>19</v>
      </c>
    </row>
    <row r="12" spans="2:12" x14ac:dyDescent="0.25">
      <c r="I12" s="1" t="s">
        <v>20</v>
      </c>
      <c r="J12" s="1" t="s">
        <v>21</v>
      </c>
      <c r="K12" s="4">
        <f>J2/K6</f>
        <v>129471.54471544716</v>
      </c>
      <c r="L12" t="s">
        <v>24</v>
      </c>
    </row>
    <row r="13" spans="2:12" x14ac:dyDescent="0.25">
      <c r="I13" s="1" t="s">
        <v>22</v>
      </c>
      <c r="J13" s="1" t="s">
        <v>25</v>
      </c>
      <c r="K13" s="4">
        <f>K12-F10</f>
        <v>55971.544715447162</v>
      </c>
      <c r="L13" t="s">
        <v>23</v>
      </c>
    </row>
    <row r="14" spans="2:12" x14ac:dyDescent="0.25">
      <c r="I14" s="1" t="s">
        <v>26</v>
      </c>
      <c r="J14" s="1" t="s">
        <v>27</v>
      </c>
      <c r="K14" s="9">
        <f>J2-K12</f>
        <v>-25471.544715447162</v>
      </c>
      <c r="L14" t="s">
        <v>28</v>
      </c>
    </row>
    <row r="16" spans="2:12" x14ac:dyDescent="0.25">
      <c r="C16" s="3"/>
      <c r="F16" s="4"/>
      <c r="I16" s="7" t="s">
        <v>42</v>
      </c>
    </row>
    <row r="18" spans="3:9" x14ac:dyDescent="0.25">
      <c r="I18" s="10" t="s">
        <v>36</v>
      </c>
    </row>
    <row r="19" spans="3:9" x14ac:dyDescent="0.25">
      <c r="C19" s="3"/>
      <c r="F19" s="4"/>
      <c r="I19" s="10" t="s">
        <v>37</v>
      </c>
    </row>
    <row r="20" spans="3:9" x14ac:dyDescent="0.25">
      <c r="I20" s="10" t="s">
        <v>39</v>
      </c>
    </row>
    <row r="21" spans="3:9" x14ac:dyDescent="0.25">
      <c r="I21" s="10" t="s">
        <v>40</v>
      </c>
    </row>
    <row r="22" spans="3:9" x14ac:dyDescent="0.25">
      <c r="I22" s="10" t="s">
        <v>41</v>
      </c>
    </row>
    <row r="23" spans="3:9" x14ac:dyDescent="0.25">
      <c r="I23" s="10" t="s">
        <v>38</v>
      </c>
    </row>
  </sheetData>
  <conditionalFormatting sqref="G3:G9">
    <cfRule type="cellIs" dxfId="3" priority="4" operator="lessThan">
      <formula>0</formula>
    </cfRule>
  </conditionalFormatting>
  <conditionalFormatting sqref="K9:K10">
    <cfRule type="cellIs" dxfId="2" priority="2" operator="lessThan">
      <formula>0</formula>
    </cfRule>
  </conditionalFormatting>
  <conditionalFormatting sqref="K10">
    <cfRule type="cellIs" dxfId="1" priority="1" operator="lessThan">
      <formula>1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811C-06D2-42C1-A86F-BF213B480C43}">
  <dimension ref="A2:K14"/>
  <sheetViews>
    <sheetView tabSelected="1" zoomScaleNormal="100" workbookViewId="0">
      <selection activeCell="H10" sqref="H10"/>
    </sheetView>
  </sheetViews>
  <sheetFormatPr defaultRowHeight="15" x14ac:dyDescent="0.25"/>
  <cols>
    <col min="1" max="1" width="7.7109375" customWidth="1"/>
    <col min="2" max="2" width="16.85546875" customWidth="1"/>
    <col min="3" max="3" width="5.5703125" bestFit="1" customWidth="1"/>
    <col min="4" max="4" width="21.85546875" customWidth="1"/>
    <col min="5" max="5" width="15.28515625" customWidth="1"/>
    <col min="6" max="6" width="14.42578125" customWidth="1"/>
    <col min="7" max="7" width="3.5703125" customWidth="1"/>
    <col min="8" max="8" width="6.140625" bestFit="1" customWidth="1"/>
    <col min="9" max="11" width="13.28515625" bestFit="1" customWidth="1"/>
    <col min="12" max="12" width="2.28515625" customWidth="1"/>
  </cols>
  <sheetData>
    <row r="2" spans="1:11" x14ac:dyDescent="0.25">
      <c r="A2" s="8" t="s">
        <v>0</v>
      </c>
      <c r="B2" s="8" t="s">
        <v>1</v>
      </c>
      <c r="C2" s="8" t="s">
        <v>3</v>
      </c>
      <c r="D2" s="5" t="s">
        <v>2</v>
      </c>
      <c r="E2" s="8" t="s">
        <v>4</v>
      </c>
      <c r="H2" s="12" t="s">
        <v>29</v>
      </c>
      <c r="I2" s="12"/>
      <c r="J2" s="12"/>
      <c r="K2" s="12"/>
    </row>
    <row r="3" spans="1:11" x14ac:dyDescent="0.25">
      <c r="A3" s="8">
        <v>1</v>
      </c>
      <c r="B3" s="2">
        <v>4500</v>
      </c>
      <c r="C3" s="3">
        <v>1</v>
      </c>
      <c r="D3" s="6">
        <f>B3*C3</f>
        <v>4500</v>
      </c>
      <c r="E3" s="2">
        <v>5000</v>
      </c>
      <c r="F3" s="4">
        <f>E3-D3</f>
        <v>500</v>
      </c>
      <c r="H3" s="1" t="s">
        <v>0</v>
      </c>
      <c r="I3" s="1" t="s">
        <v>1</v>
      </c>
      <c r="J3" s="1" t="s">
        <v>2</v>
      </c>
      <c r="K3" s="1" t="s">
        <v>4</v>
      </c>
    </row>
    <row r="4" spans="1:11" x14ac:dyDescent="0.25">
      <c r="A4" s="8">
        <f>A3+1</f>
        <v>2</v>
      </c>
      <c r="B4" s="2">
        <v>3000</v>
      </c>
      <c r="C4" s="3">
        <v>1</v>
      </c>
      <c r="D4" s="6">
        <f>B4*C4</f>
        <v>3000</v>
      </c>
      <c r="E4" s="2">
        <v>2500</v>
      </c>
      <c r="F4" s="4">
        <f>E4-D4</f>
        <v>-500</v>
      </c>
      <c r="H4" s="1">
        <v>1</v>
      </c>
      <c r="I4" s="2">
        <f>B3</f>
        <v>4500</v>
      </c>
      <c r="J4" s="2">
        <f>D3</f>
        <v>4500</v>
      </c>
      <c r="K4" s="2">
        <f>E3</f>
        <v>5000</v>
      </c>
    </row>
    <row r="5" spans="1:11" x14ac:dyDescent="0.25">
      <c r="A5" s="8">
        <f t="shared" ref="A5:A8" si="0">A4+1</f>
        <v>3</v>
      </c>
      <c r="B5" s="2">
        <v>23000</v>
      </c>
      <c r="C5" s="3">
        <v>1</v>
      </c>
      <c r="D5" s="6">
        <f>B5*C5</f>
        <v>23000</v>
      </c>
      <c r="E5" s="2">
        <v>26500</v>
      </c>
      <c r="F5" s="4">
        <f t="shared" ref="F5:F9" si="1">E5-D5</f>
        <v>3500</v>
      </c>
      <c r="H5" s="1">
        <v>2</v>
      </c>
      <c r="I5" s="2">
        <f>B4+I4</f>
        <v>7500</v>
      </c>
      <c r="J5" s="2">
        <f>D4+J4</f>
        <v>7500</v>
      </c>
      <c r="K5" s="2">
        <f>E4+K4</f>
        <v>7500</v>
      </c>
    </row>
    <row r="6" spans="1:11" x14ac:dyDescent="0.25">
      <c r="A6" s="8">
        <f t="shared" si="0"/>
        <v>4</v>
      </c>
      <c r="B6" s="2">
        <v>11500</v>
      </c>
      <c r="C6" s="3">
        <v>1</v>
      </c>
      <c r="D6" s="6">
        <f t="shared" ref="D6" si="2">B6*C6</f>
        <v>11500</v>
      </c>
      <c r="E6" s="2">
        <v>13000</v>
      </c>
      <c r="F6" s="4">
        <f t="shared" si="1"/>
        <v>1500</v>
      </c>
      <c r="H6" s="1">
        <v>3</v>
      </c>
      <c r="I6" s="2">
        <f>B5+I5</f>
        <v>30500</v>
      </c>
      <c r="J6" s="2">
        <f t="shared" ref="J5:K9" si="3">D5+J5</f>
        <v>30500</v>
      </c>
      <c r="K6" s="2">
        <f t="shared" si="3"/>
        <v>34000</v>
      </c>
    </row>
    <row r="7" spans="1:11" x14ac:dyDescent="0.25">
      <c r="A7" s="8">
        <f t="shared" si="0"/>
        <v>5</v>
      </c>
      <c r="B7" s="2">
        <v>13800</v>
      </c>
      <c r="C7" s="3">
        <v>0.7</v>
      </c>
      <c r="D7" s="6">
        <f>B7*C7</f>
        <v>9660</v>
      </c>
      <c r="E7" s="2">
        <v>11500</v>
      </c>
      <c r="F7" s="4">
        <f t="shared" si="1"/>
        <v>1840</v>
      </c>
      <c r="H7" s="8">
        <v>4</v>
      </c>
      <c r="I7" s="2">
        <f>B6+I6</f>
        <v>42000</v>
      </c>
      <c r="J7" s="2">
        <f t="shared" si="3"/>
        <v>42000</v>
      </c>
      <c r="K7" s="2">
        <f t="shared" si="3"/>
        <v>47000</v>
      </c>
    </row>
    <row r="8" spans="1:11" x14ac:dyDescent="0.25">
      <c r="A8" s="8">
        <f t="shared" si="0"/>
        <v>6</v>
      </c>
      <c r="B8" s="2">
        <v>8200</v>
      </c>
      <c r="C8" s="3">
        <v>0.9</v>
      </c>
      <c r="D8" s="6">
        <f>B8*C8</f>
        <v>7380</v>
      </c>
      <c r="E8" s="2">
        <v>15000</v>
      </c>
      <c r="F8" s="4">
        <f t="shared" si="1"/>
        <v>7620</v>
      </c>
      <c r="H8" s="8">
        <v>5</v>
      </c>
      <c r="I8" s="2">
        <f>B7+I7</f>
        <v>55800</v>
      </c>
      <c r="J8" s="2">
        <f t="shared" si="3"/>
        <v>51660</v>
      </c>
      <c r="K8" s="2">
        <f t="shared" si="3"/>
        <v>58500</v>
      </c>
    </row>
    <row r="9" spans="1:11" x14ac:dyDescent="0.25">
      <c r="A9" s="8" t="s">
        <v>35</v>
      </c>
      <c r="B9" s="2">
        <v>40000</v>
      </c>
      <c r="C9" s="3">
        <v>0</v>
      </c>
      <c r="D9" s="6">
        <f>B9*C9</f>
        <v>0</v>
      </c>
      <c r="E9" s="2">
        <v>0</v>
      </c>
      <c r="F9" s="4">
        <f t="shared" si="1"/>
        <v>0</v>
      </c>
      <c r="H9" s="8">
        <v>6</v>
      </c>
      <c r="I9" s="2">
        <f>B8+I8</f>
        <v>64000</v>
      </c>
      <c r="J9" s="2">
        <f t="shared" si="3"/>
        <v>59040</v>
      </c>
      <c r="K9" s="2">
        <f t="shared" si="3"/>
        <v>73500</v>
      </c>
    </row>
    <row r="11" spans="1:11" x14ac:dyDescent="0.25">
      <c r="B11" s="10" t="s">
        <v>30</v>
      </c>
    </row>
    <row r="12" spans="1:11" x14ac:dyDescent="0.25">
      <c r="B12" s="10" t="s">
        <v>33</v>
      </c>
    </row>
    <row r="13" spans="1:11" x14ac:dyDescent="0.25">
      <c r="B13" s="10" t="s">
        <v>34</v>
      </c>
    </row>
    <row r="14" spans="1:11" x14ac:dyDescent="0.25">
      <c r="B14" s="10" t="s">
        <v>32</v>
      </c>
    </row>
  </sheetData>
  <mergeCells count="1">
    <mergeCell ref="H2:K2"/>
  </mergeCells>
  <conditionalFormatting sqref="F3:F9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62B415CA2F41B03BD5FDD7749FE8" ma:contentTypeVersion="3" ma:contentTypeDescription="Crie um novo documento." ma:contentTypeScope="" ma:versionID="0c7a45822375dc822d069207f4dff0ae">
  <xsd:schema xmlns:xsd="http://www.w3.org/2001/XMLSchema" xmlns:xs="http://www.w3.org/2001/XMLSchema" xmlns:p="http://schemas.microsoft.com/office/2006/metadata/properties" xmlns:ns2="dd87c850-3583-44c6-85ce-f467ca38b0d6" targetNamespace="http://schemas.microsoft.com/office/2006/metadata/properties" ma:root="true" ma:fieldsID="c8d587cfd54e59f40b55592dab8570be" ns2:_="">
    <xsd:import namespace="dd87c850-3583-44c6-85ce-f467ca38b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7c850-3583-44c6-85ce-f467ca38b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D6BA75-7B75-444E-A50C-D719A054C2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AA5A34-67B5-4AD2-BA0A-FE95FB0ADD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87c850-3583-44c6-85ce-f467ca38b0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93DEBA-B535-499F-AA1C-7BC8FBEA367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Alambrado_R$</vt:lpstr>
      <vt:lpstr>Curva_S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Parecerista</dc:creator>
  <cp:lastModifiedBy>Felipe de Jesus</cp:lastModifiedBy>
  <dcterms:created xsi:type="dcterms:W3CDTF">2025-10-17T11:04:13Z</dcterms:created>
  <dcterms:modified xsi:type="dcterms:W3CDTF">2025-10-21T17:21:15Z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0x010100CA4962B415CA2F41B03BD5FDD7749FE8</vt:lpwstr>
  </property>
</Properties>
</file>