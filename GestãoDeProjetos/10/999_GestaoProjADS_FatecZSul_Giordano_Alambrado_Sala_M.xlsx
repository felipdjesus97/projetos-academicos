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ocuments\MEGA\FATEC\6° semestre\Gestão de Projetos\10\"/>
    </mc:Choice>
  </mc:AlternateContent>
  <xr:revisionPtr revIDLastSave="0" documentId="13_ncr:1_{0946A48A-B2D4-4569-AD83-96EE520F7CC4}" xr6:coauthVersionLast="47" xr6:coauthVersionMax="47" xr10:uidLastSave="{00000000-0000-0000-0000-000000000000}"/>
  <bookViews>
    <workbookView xWindow="-120" yWindow="-120" windowWidth="20640" windowHeight="11760" activeTab="3" xr2:uid="{473E0E97-9434-4427-967B-C7320F97C609}"/>
  </bookViews>
  <sheets>
    <sheet name="Teoria" sheetId="2" r:id="rId1"/>
    <sheet name="Alambrado_DR" sheetId="1" r:id="rId2"/>
    <sheet name="Alambrado_R$" sheetId="3" r:id="rId3"/>
    <sheet name="Curva_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3" l="1"/>
  <c r="E3" i="3"/>
  <c r="K4" i="4"/>
  <c r="K5" i="4" s="1"/>
  <c r="K6" i="4" s="1"/>
  <c r="J4" i="4"/>
  <c r="I5" i="4"/>
  <c r="I6" i="4" s="1"/>
  <c r="D6" i="4"/>
  <c r="F5" i="4"/>
  <c r="D5" i="4"/>
  <c r="D4" i="4"/>
  <c r="F4" i="4" s="1"/>
  <c r="D3" i="4"/>
  <c r="F3" i="4" s="1"/>
  <c r="K14" i="3"/>
  <c r="K13" i="3"/>
  <c r="K12" i="3"/>
  <c r="K10" i="3"/>
  <c r="K6" i="3"/>
  <c r="K5" i="3"/>
  <c r="J2" i="3"/>
  <c r="G7" i="3"/>
  <c r="G4" i="3"/>
  <c r="G5" i="3"/>
  <c r="G3" i="3"/>
  <c r="F16" i="3"/>
  <c r="E16" i="3"/>
  <c r="F7" i="3"/>
  <c r="C7" i="3"/>
  <c r="E7" i="3"/>
  <c r="E6" i="3"/>
  <c r="E5" i="3"/>
  <c r="E4" i="3"/>
  <c r="F18" i="1"/>
  <c r="D18" i="1"/>
  <c r="P2" i="1"/>
  <c r="L2" i="1"/>
  <c r="H2" i="1"/>
  <c r="D2" i="1"/>
  <c r="J5" i="4" l="1"/>
  <c r="J6" i="4" s="1"/>
</calcChain>
</file>

<file path=xl/sharedStrings.xml><?xml version="1.0" encoding="utf-8"?>
<sst xmlns="http://schemas.openxmlformats.org/spreadsheetml/2006/main" count="93" uniqueCount="81">
  <si>
    <t>Três variáveis</t>
  </si>
  <si>
    <t>Valor Planejado (VP)</t>
  </si>
  <si>
    <t>Valor Agregado (VA)</t>
  </si>
  <si>
    <t>Custo Real (CR)</t>
  </si>
  <si>
    <t>O controle, para facilitar, é feiro em Reais.</t>
  </si>
  <si>
    <t>Valor planejado durante o Planejamento. Por exemplo: a Tarefa 48, R$1.200,00 de RH e R$1.000,00 de Outros custos, então Total de R$2.200,00.</t>
  </si>
  <si>
    <t>Qual é a porcentagem executada (entregue, feita, agregada) da Tarefa. Por exemplo: foi entregue 100%, então entrego-se R$2.200,00. Se entregue 90%, então entregou-se (90% de 2200), R$1.980,00.</t>
  </si>
  <si>
    <t>Apurado o custo REAL (não o planejado). Por exemplo: custo real igual a R$2.500,00. Então, o projeto está gastando mais.</t>
  </si>
  <si>
    <t>O VA e CR são apurados no momento do PI, portanto durante a Execução.</t>
  </si>
  <si>
    <t>Os valores são expressos acumuladamente, em função da pretensão de se criar a Curva S.</t>
  </si>
  <si>
    <t>MAG</t>
  </si>
  <si>
    <t>Lado 1</t>
  </si>
  <si>
    <t>1-1</t>
  </si>
  <si>
    <t>xxx</t>
  </si>
  <si>
    <t>Tarefa</t>
  </si>
  <si>
    <t>VP</t>
  </si>
  <si>
    <t>VA</t>
  </si>
  <si>
    <t>%VA</t>
  </si>
  <si>
    <t>CR</t>
  </si>
  <si>
    <t>Lado 2</t>
  </si>
  <si>
    <t>Lado 3</t>
  </si>
  <si>
    <t>Lado 4</t>
  </si>
  <si>
    <t>2-2</t>
  </si>
  <si>
    <t>3-3</t>
  </si>
  <si>
    <t>4-4</t>
  </si>
  <si>
    <t>CC: 1; 2; 3; 4.</t>
  </si>
  <si>
    <t>TF: não.</t>
  </si>
  <si>
    <t>PI</t>
  </si>
  <si>
    <t>Vanessa que é follow up da equipe de Projetos entra em contato com Wellison que é o responsável</t>
  </si>
  <si>
    <t>pela Tarefa 3, Lado 3.</t>
  </si>
  <si>
    <t>Pergunta: Quantos por cento da T3 foi executado (agregado ao projeto)?</t>
  </si>
  <si>
    <t>Resposta: 40%.</t>
  </si>
  <si>
    <t>O Projeto está atrasado em 60% da T3.</t>
  </si>
  <si>
    <t>dia</t>
  </si>
  <si>
    <t>hotas</t>
  </si>
  <si>
    <t>VA &lt;-&gt; VP</t>
  </si>
  <si>
    <t>VA &lt;-&gt; CR</t>
  </si>
  <si>
    <t>Custo a mais ou a menos</t>
  </si>
  <si>
    <t>Entrega de 14400 quando deveria ser entregue 18000, logo atrasado.</t>
  </si>
  <si>
    <t>T3 deveria ter sido entregue 100%, foi entregue 40%, logo atrasado.</t>
  </si>
  <si>
    <t>Entregue 14400, ao custo de 12600, logo gastando menos.</t>
  </si>
  <si>
    <t>Atraso e adiamento (duração, prazo, tempo).</t>
  </si>
  <si>
    <t>ONT</t>
  </si>
  <si>
    <t>Acc</t>
  </si>
  <si>
    <t>Custo</t>
  </si>
  <si>
    <t>VC</t>
  </si>
  <si>
    <t>IDC</t>
  </si>
  <si>
    <t>VA-CR</t>
  </si>
  <si>
    <t>&gt;0, gastndo menos; &lt;0, gastando mais</t>
  </si>
  <si>
    <t>VA/CR</t>
  </si>
  <si>
    <t>Usar sempre duas casas decimais.</t>
  </si>
  <si>
    <t>&gt;1 , gastando menos; &lt;1, gastando mais</t>
  </si>
  <si>
    <t>Prazo</t>
  </si>
  <si>
    <t>VPR</t>
  </si>
  <si>
    <t>IDP</t>
  </si>
  <si>
    <t>VA-VP</t>
  </si>
  <si>
    <t>VA/VP</t>
  </si>
  <si>
    <t>&gt;0, adiantado; &lt;0, atrasado</t>
  </si>
  <si>
    <t>&gt;1, adiantado; &lt;1, atrasado.</t>
  </si>
  <si>
    <t>ENT</t>
  </si>
  <si>
    <t>ONT/IDC</t>
  </si>
  <si>
    <t>EPT</t>
  </si>
  <si>
    <t>Faltam</t>
  </si>
  <si>
    <t>Novo ONT</t>
  </si>
  <si>
    <t>ENT-CR</t>
  </si>
  <si>
    <t>VCN</t>
  </si>
  <si>
    <t>ONT-ENT</t>
  </si>
  <si>
    <t>Se + economia; se - põe dinheiro</t>
  </si>
  <si>
    <t>Cuidado! O projeto está atrasado!</t>
  </si>
  <si>
    <t xml:space="preserve">O projeto está gastando menos (ver VC ou IDC) e está </t>
  </si>
  <si>
    <t>atrasado (ver VPR e IDP).</t>
  </si>
  <si>
    <t>Porém, os resultados devem ser avaliados com cuidado,</t>
  </si>
  <si>
    <t>porque o projeto está atrasado em 0,6 dia (ou 4,8h) o que interere no valor do custo menor.</t>
  </si>
  <si>
    <t>Por  que não T4. Porque T4 está após PI.</t>
  </si>
  <si>
    <t>Acumulado</t>
  </si>
  <si>
    <t>Trabalha-se com o valor acumulado.</t>
  </si>
  <si>
    <t>Como referência VA.</t>
  </si>
  <si>
    <t>Na curva VA está abaixo de VP, ou seja, VA&lt;VP, logo atrasado.</t>
  </si>
  <si>
    <t>Possível argiumentação também pela Curva S,</t>
  </si>
  <si>
    <t>Na curva VA está acima de CR, ou seja, VA&gt;CR, logo gastando menos.</t>
  </si>
  <si>
    <t>Atenção! Está atrasado!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</si>
</sst>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0" borderId="1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9" fontId="0" fillId="0" borderId="0" xfId="0" applyNumberFormat="1"/>
    <xf numFmtId="0" fontId="3" fillId="0" borderId="0" xfId="0" applyFont="1" applyAlignment="1">
      <alignment horizontal="center"/>
    </xf>
    <xf numFmtId="44" fontId="0" fillId="0" borderId="0" xfId="0" applyNumberFormat="1"/>
    <xf numFmtId="0" fontId="4" fillId="0" borderId="0" xfId="0" applyFont="1" applyAlignment="1">
      <alignment horizontal="center"/>
    </xf>
    <xf numFmtId="44" fontId="4" fillId="0" borderId="0" xfId="0" applyNumberFormat="1" applyFont="1"/>
    <xf numFmtId="2" fontId="0" fillId="0" borderId="0" xfId="0" applyNumberFormat="1"/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Curva_S!$I$3</c:f>
              <c:strCache>
                <c:ptCount val="1"/>
                <c:pt idx="0">
                  <c:v>VP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645469160104987"/>
                  <c:y val="-3.369726547759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F4-4B51-A918-76C069C51DB6}"/>
                </c:ext>
              </c:extLst>
            </c:dLbl>
            <c:dLbl>
              <c:idx val="1"/>
              <c:layout>
                <c:manualLayout>
                  <c:x val="-0.21513024934383201"/>
                  <c:y val="-8.84813519715786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F4-4B51-A918-76C069C51DB6}"/>
                </c:ext>
              </c:extLst>
            </c:dLbl>
            <c:dLbl>
              <c:idx val="2"/>
              <c:layout>
                <c:manualLayout>
                  <c:x val="-0.12554691601049869"/>
                  <c:y val="-6.20962715123868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F4-4B51-A918-76C069C51D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Curva_S!$I$4:$I$6</c:f>
              <c:numCache>
                <c:formatCode>_("R$"* #,##0.00_);_("R$"* \(#,##0.00\);_("R$"* "-"??_);_(@_)</c:formatCode>
                <c:ptCount val="3"/>
                <c:pt idx="0">
                  <c:v>6000</c:v>
                </c:pt>
                <c:pt idx="1">
                  <c:v>12000</c:v>
                </c:pt>
                <c:pt idx="2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4-4B51-A918-76C069C51DB6}"/>
            </c:ext>
          </c:extLst>
        </c:ser>
        <c:ser>
          <c:idx val="1"/>
          <c:order val="1"/>
          <c:tx>
            <c:strRef>
              <c:f>Curva_S!$J$3</c:f>
              <c:strCache>
                <c:ptCount val="1"/>
                <c:pt idx="0">
                  <c:v>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1213582677165358E-2"/>
                  <c:y val="-0.101144904810221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F4-4B51-A918-76C069C51DB6}"/>
                </c:ext>
              </c:extLst>
            </c:dLbl>
            <c:dLbl>
              <c:idx val="1"/>
              <c:layout>
                <c:manualLayout>
                  <c:x val="-0.17971358267716539"/>
                  <c:y val="-9.75950290558728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F4-4B51-A918-76C069C51DB6}"/>
                </c:ext>
              </c:extLst>
            </c:dLbl>
            <c:dLbl>
              <c:idx val="2"/>
              <c:layout>
                <c:manualLayout>
                  <c:x val="-3.8046916010498685E-2"/>
                  <c:y val="-7.62957745297812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F4-4B51-A918-76C069C51D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Curva_S!$J$4:$J$6</c:f>
              <c:numCache>
                <c:formatCode>_("R$"* #,##0.00_);_("R$"* \(#,##0.00\);_("R$"* "-"??_);_(@_)</c:formatCode>
                <c:ptCount val="3"/>
                <c:pt idx="0">
                  <c:v>6000</c:v>
                </c:pt>
                <c:pt idx="1">
                  <c:v>12000</c:v>
                </c:pt>
                <c:pt idx="2">
                  <c:v>14400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F4-4B51-A918-76C069C51DB6}"/>
            </c:ext>
          </c:extLst>
        </c:ser>
        <c:ser>
          <c:idx val="2"/>
          <c:order val="2"/>
          <c:tx>
            <c:strRef>
              <c:f>Curva_S!$K$3</c:f>
              <c:strCache>
                <c:ptCount val="1"/>
                <c:pt idx="0">
                  <c:v>CR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0453083989501313E-2"/>
                  <c:y val="3.3750373855025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F4-4B51-A918-76C069C51DB6}"/>
                </c:ext>
              </c:extLst>
            </c:dLbl>
            <c:dLbl>
              <c:idx val="1"/>
              <c:layout>
                <c:manualLayout>
                  <c:x val="-3.8046916010498762E-2"/>
                  <c:y val="8.69985101702542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F4-4B51-A918-76C069C51DB6}"/>
                </c:ext>
              </c:extLst>
            </c:dLbl>
            <c:dLbl>
              <c:idx val="2"/>
              <c:layout>
                <c:manualLayout>
                  <c:x val="-5.4713582677165355E-2"/>
                  <c:y val="6.92491313985112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F4-4B51-A918-76C069C51D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Curva_S!$K$4:$K$6</c:f>
              <c:numCache>
                <c:formatCode>_("R$"* #,##0.00_);_("R$"* \(#,##0.00\);_("R$"* "-"??_);_(@_)</c:formatCode>
                <c:ptCount val="3"/>
                <c:pt idx="0">
                  <c:v>5000</c:v>
                </c:pt>
                <c:pt idx="1">
                  <c:v>10800</c:v>
                </c:pt>
                <c:pt idx="2">
                  <c:v>12600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DF4-4B51-A918-76C069C51D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9948847"/>
        <c:axId val="1129950767"/>
      </c:lineChart>
      <c:catAx>
        <c:axId val="112994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Tarefas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9950767"/>
        <c:crosses val="autoZero"/>
        <c:auto val="1"/>
        <c:lblAlgn val="ctr"/>
        <c:lblOffset val="100"/>
        <c:noMultiLvlLbl val="0"/>
      </c:catAx>
      <c:valAx>
        <c:axId val="11299507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Custo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2994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83820</xdr:colOff>
      <xdr:row>0</xdr:row>
      <xdr:rowOff>74566</xdr:rowOff>
    </xdr:from>
    <xdr:to>
      <xdr:col>27</xdr:col>
      <xdr:colOff>426720</xdr:colOff>
      <xdr:row>22</xdr:row>
      <xdr:rowOff>72789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26A2E7-B7B0-79D8-7BB2-6B3A05625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9440" y="74566"/>
          <a:ext cx="6438900" cy="4036823"/>
        </a:xfrm>
        <a:prstGeom prst="rect">
          <a:avLst/>
        </a:prstGeom>
      </xdr:spPr>
    </xdr:pic>
    <xdr:clientData/>
  </xdr:twoCellAnchor>
  <xdr:twoCellAnchor>
    <xdr:from>
      <xdr:col>3</xdr:col>
      <xdr:colOff>320040</xdr:colOff>
      <xdr:row>3</xdr:row>
      <xdr:rowOff>7620</xdr:rowOff>
    </xdr:from>
    <xdr:to>
      <xdr:col>5</xdr:col>
      <xdr:colOff>15240</xdr:colOff>
      <xdr:row>3</xdr:row>
      <xdr:rowOff>15240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1C20A362-26A6-93ED-7C41-61BB503E8DC4}"/>
            </a:ext>
          </a:extLst>
        </xdr:cNvPr>
        <xdr:cNvCxnSpPr/>
      </xdr:nvCxnSpPr>
      <xdr:spPr>
        <a:xfrm>
          <a:off x="1577340" y="5638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3</xdr:row>
      <xdr:rowOff>0</xdr:rowOff>
    </xdr:from>
    <xdr:to>
      <xdr:col>13</xdr:col>
      <xdr:colOff>30480</xdr:colOff>
      <xdr:row>3</xdr:row>
      <xdr:rowOff>7620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51FDD779-4174-4669-90C4-51024C7C81DC}"/>
            </a:ext>
          </a:extLst>
        </xdr:cNvPr>
        <xdr:cNvCxnSpPr/>
      </xdr:nvCxnSpPr>
      <xdr:spPr>
        <a:xfrm>
          <a:off x="4815840" y="5562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373380</xdr:colOff>
      <xdr:row>3</xdr:row>
      <xdr:rowOff>0</xdr:rowOff>
    </xdr:from>
    <xdr:to>
      <xdr:col>9</xdr:col>
      <xdr:colOff>15240</xdr:colOff>
      <xdr:row>3</xdr:row>
      <xdr:rowOff>7620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4C87E226-F682-4172-A1A7-8EB433A1A001}"/>
            </a:ext>
          </a:extLst>
        </xdr:cNvPr>
        <xdr:cNvCxnSpPr/>
      </xdr:nvCxnSpPr>
      <xdr:spPr>
        <a:xfrm>
          <a:off x="3162300" y="5562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2</xdr:row>
      <xdr:rowOff>53340</xdr:rowOff>
    </xdr:from>
    <xdr:to>
      <xdr:col>12</xdr:col>
      <xdr:colOff>220980</xdr:colOff>
      <xdr:row>3</xdr:row>
      <xdr:rowOff>91440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5911C05C-23B6-F12B-3C32-388DC80F1B1C}"/>
            </a:ext>
          </a:extLst>
        </xdr:cNvPr>
        <xdr:cNvSpPr/>
      </xdr:nvSpPr>
      <xdr:spPr>
        <a:xfrm>
          <a:off x="4739640" y="426720"/>
          <a:ext cx="205740" cy="22098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118110</xdr:colOff>
      <xdr:row>3</xdr:row>
      <xdr:rowOff>91440</xdr:rowOff>
    </xdr:from>
    <xdr:to>
      <xdr:col>12</xdr:col>
      <xdr:colOff>121920</xdr:colOff>
      <xdr:row>6</xdr:row>
      <xdr:rowOff>99060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988E248B-FD19-4582-9A56-4C69D85BFBF9}"/>
            </a:ext>
          </a:extLst>
        </xdr:cNvPr>
        <xdr:cNvCxnSpPr>
          <a:endCxn id="7" idx="4"/>
        </xdr:cNvCxnSpPr>
      </xdr:nvCxnSpPr>
      <xdr:spPr>
        <a:xfrm flipH="1" flipV="1">
          <a:off x="4842510" y="647700"/>
          <a:ext cx="3810" cy="563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</xdr:colOff>
      <xdr:row>1</xdr:row>
      <xdr:rowOff>15240</xdr:rowOff>
    </xdr:from>
    <xdr:to>
      <xdr:col>21</xdr:col>
      <xdr:colOff>548640</xdr:colOff>
      <xdr:row>19</xdr:row>
      <xdr:rowOff>100955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EFB3C4-D465-4B23-96AB-78EE1B55E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7740" y="198120"/>
          <a:ext cx="5387340" cy="33775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259080</xdr:colOff>
      <xdr:row>1</xdr:row>
      <xdr:rowOff>11430</xdr:rowOff>
    </xdr:from>
    <xdr:to>
      <xdr:col>22</xdr:col>
      <xdr:colOff>259080</xdr:colOff>
      <xdr:row>20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93C50B-64BB-A155-E84C-FDFBBA1E7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D17-B2C6-4A6B-9D93-4FCC9BCAE397}">
  <dimension ref="B2:C10"/>
  <sheetViews>
    <sheetView workbookViewId="0"/>
  </sheetViews>
  <sheetFormatPr defaultRowHeight="15" x14ac:dyDescent="0.25"/>
  <cols>
    <col min="1" max="1" width="3.42578125" customWidth="1"/>
    <col min="2" max="2" width="17.42578125" bestFit="1" customWidth="1"/>
  </cols>
  <sheetData>
    <row r="2" spans="2:3" x14ac:dyDescent="0.25">
      <c r="B2" t="s">
        <v>0</v>
      </c>
    </row>
    <row r="3" spans="2:3" x14ac:dyDescent="0.25">
      <c r="B3" t="s">
        <v>1</v>
      </c>
      <c r="C3" t="s">
        <v>5</v>
      </c>
    </row>
    <row r="4" spans="2:3" x14ac:dyDescent="0.25">
      <c r="B4" t="s">
        <v>2</v>
      </c>
      <c r="C4" t="s">
        <v>6</v>
      </c>
    </row>
    <row r="5" spans="2:3" x14ac:dyDescent="0.25">
      <c r="B5" t="s">
        <v>3</v>
      </c>
      <c r="C5" t="s">
        <v>7</v>
      </c>
    </row>
    <row r="7" spans="2:3" x14ac:dyDescent="0.25">
      <c r="B7" t="s">
        <v>4</v>
      </c>
    </row>
    <row r="9" spans="2:3" x14ac:dyDescent="0.25">
      <c r="B9" t="s">
        <v>8</v>
      </c>
    </row>
    <row r="10" spans="2:3" x14ac:dyDescent="0.25">
      <c r="B10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F154-0D08-4FCE-A75C-A4F6513FBC74}">
  <dimension ref="A1:P18"/>
  <sheetViews>
    <sheetView workbookViewId="0">
      <selection activeCell="N18" sqref="N18"/>
    </sheetView>
  </sheetViews>
  <sheetFormatPr defaultRowHeight="15" x14ac:dyDescent="0.25"/>
  <cols>
    <col min="1" max="1" width="4.85546875" bestFit="1" customWidth="1"/>
    <col min="2" max="2" width="5.85546875" customWidth="1"/>
    <col min="3" max="3" width="7.5703125" customWidth="1"/>
    <col min="4" max="4" width="4.85546875" customWidth="1"/>
    <col min="5" max="5" width="3.7109375" customWidth="1"/>
    <col min="6" max="6" width="4.85546875" customWidth="1"/>
    <col min="8" max="8" width="5.7109375" customWidth="1"/>
    <col min="9" max="9" width="3.7109375" customWidth="1"/>
    <col min="10" max="10" width="5.7109375" customWidth="1"/>
    <col min="11" max="11" width="7.42578125" customWidth="1"/>
    <col min="12" max="12" width="5.7109375" customWidth="1"/>
    <col min="13" max="13" width="3.5703125" customWidth="1"/>
    <col min="14" max="14" width="5.7109375" customWidth="1"/>
    <col min="15" max="15" width="7.7109375" customWidth="1"/>
    <col min="16" max="16" width="4.5703125" customWidth="1"/>
  </cols>
  <sheetData>
    <row r="1" spans="1:16" ht="15.75" thickBot="1" x14ac:dyDescent="0.3">
      <c r="A1" s="1" t="s">
        <v>10</v>
      </c>
    </row>
    <row r="2" spans="1:16" x14ac:dyDescent="0.25">
      <c r="B2" s="3">
        <v>0</v>
      </c>
      <c r="C2" s="4" t="s">
        <v>12</v>
      </c>
      <c r="D2" s="5">
        <f>B2+D5</f>
        <v>1</v>
      </c>
      <c r="E2" s="6"/>
      <c r="F2" s="3">
        <v>1</v>
      </c>
      <c r="G2" s="4" t="s">
        <v>22</v>
      </c>
      <c r="H2" s="5">
        <f>F2+H5</f>
        <v>2</v>
      </c>
      <c r="I2" s="6"/>
      <c r="J2" s="3">
        <v>2</v>
      </c>
      <c r="K2" s="4" t="s">
        <v>23</v>
      </c>
      <c r="L2" s="5">
        <f>J2+L5</f>
        <v>3</v>
      </c>
      <c r="M2" s="6"/>
      <c r="N2" s="3">
        <v>3</v>
      </c>
      <c r="O2" s="4" t="s">
        <v>24</v>
      </c>
      <c r="P2" s="5">
        <f>N2+P5</f>
        <v>4</v>
      </c>
    </row>
    <row r="3" spans="1:16" x14ac:dyDescent="0.25">
      <c r="B3" s="17" t="s">
        <v>11</v>
      </c>
      <c r="C3" s="18"/>
      <c r="D3" s="19"/>
      <c r="E3" s="6"/>
      <c r="F3" s="17" t="s">
        <v>19</v>
      </c>
      <c r="G3" s="18"/>
      <c r="H3" s="19"/>
      <c r="I3" s="6"/>
      <c r="J3" s="17" t="s">
        <v>20</v>
      </c>
      <c r="K3" s="18"/>
      <c r="L3" s="19"/>
      <c r="M3" s="6"/>
      <c r="N3" s="17" t="s">
        <v>21</v>
      </c>
      <c r="O3" s="18"/>
      <c r="P3" s="19"/>
    </row>
    <row r="4" spans="1:16" x14ac:dyDescent="0.25">
      <c r="B4" s="20"/>
      <c r="C4" s="21"/>
      <c r="D4" s="22"/>
      <c r="E4" s="6"/>
      <c r="F4" s="20"/>
      <c r="G4" s="21"/>
      <c r="H4" s="22"/>
      <c r="I4" s="6"/>
      <c r="J4" s="20"/>
      <c r="K4" s="21"/>
      <c r="L4" s="22"/>
      <c r="M4" s="6"/>
      <c r="N4" s="20"/>
      <c r="O4" s="21"/>
      <c r="P4" s="22"/>
    </row>
    <row r="5" spans="1:16" ht="15.75" thickBot="1" x14ac:dyDescent="0.3">
      <c r="B5" s="7">
        <v>1</v>
      </c>
      <c r="C5" s="8" t="s">
        <v>13</v>
      </c>
      <c r="D5" s="9">
        <v>1</v>
      </c>
      <c r="E5" s="6"/>
      <c r="F5" s="7">
        <v>2</v>
      </c>
      <c r="G5" s="8" t="s">
        <v>13</v>
      </c>
      <c r="H5" s="9">
        <v>1</v>
      </c>
      <c r="I5" s="6"/>
      <c r="J5" s="7">
        <v>3</v>
      </c>
      <c r="K5" s="8" t="s">
        <v>13</v>
      </c>
      <c r="L5" s="9">
        <v>1</v>
      </c>
      <c r="M5" s="6"/>
      <c r="N5" s="7">
        <v>4</v>
      </c>
      <c r="O5" s="8" t="s">
        <v>13</v>
      </c>
      <c r="P5" s="9">
        <v>1</v>
      </c>
    </row>
    <row r="7" spans="1:16" x14ac:dyDescent="0.25">
      <c r="B7" t="s">
        <v>25</v>
      </c>
    </row>
    <row r="8" spans="1:16" x14ac:dyDescent="0.25">
      <c r="B8" t="s">
        <v>26</v>
      </c>
      <c r="M8" s="11" t="s">
        <v>27</v>
      </c>
    </row>
    <row r="11" spans="1:16" x14ac:dyDescent="0.25">
      <c r="B11" t="s">
        <v>28</v>
      </c>
    </row>
    <row r="12" spans="1:16" x14ac:dyDescent="0.25">
      <c r="B12" t="s">
        <v>29</v>
      </c>
    </row>
    <row r="13" spans="1:16" x14ac:dyDescent="0.25">
      <c r="B13" t="s">
        <v>30</v>
      </c>
    </row>
    <row r="14" spans="1:16" x14ac:dyDescent="0.25">
      <c r="B14" t="s">
        <v>31</v>
      </c>
    </row>
    <row r="16" spans="1:16" x14ac:dyDescent="0.25">
      <c r="B16" t="s">
        <v>32</v>
      </c>
    </row>
    <row r="18" spans="2:7" x14ac:dyDescent="0.25">
      <c r="B18">
        <v>1</v>
      </c>
      <c r="C18" t="s">
        <v>33</v>
      </c>
      <c r="D18">
        <f>0.6*B18</f>
        <v>0.6</v>
      </c>
      <c r="E18" t="s">
        <v>33</v>
      </c>
      <c r="F18">
        <f>8*D18</f>
        <v>4.8</v>
      </c>
      <c r="G18" t="s">
        <v>34</v>
      </c>
    </row>
  </sheetData>
  <mergeCells count="4">
    <mergeCell ref="B3:D4"/>
    <mergeCell ref="F3:H4"/>
    <mergeCell ref="J3:L4"/>
    <mergeCell ref="N3:P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2EFD-0E88-4384-948F-707C1FE2B184}">
  <dimension ref="B2:L22"/>
  <sheetViews>
    <sheetView workbookViewId="0">
      <selection activeCell="K10" sqref="K10"/>
    </sheetView>
  </sheetViews>
  <sheetFormatPr defaultRowHeight="15" x14ac:dyDescent="0.25"/>
  <cols>
    <col min="1" max="1" width="2.7109375" customWidth="1"/>
    <col min="2" max="2" width="6.140625" bestFit="1" customWidth="1"/>
    <col min="3" max="3" width="12.85546875" bestFit="1" customWidth="1"/>
    <col min="5" max="5" width="21.28515625" customWidth="1"/>
    <col min="6" max="6" width="12.85546875" bestFit="1" customWidth="1"/>
    <col min="7" max="7" width="11.85546875" bestFit="1" customWidth="1"/>
    <col min="8" max="8" width="3.85546875" customWidth="1"/>
    <col min="10" max="10" width="16.140625" customWidth="1"/>
    <col min="11" max="11" width="12.85546875" bestFit="1" customWidth="1"/>
    <col min="12" max="12" width="13" customWidth="1"/>
    <col min="13" max="13" width="33.7109375" customWidth="1"/>
  </cols>
  <sheetData>
    <row r="2" spans="2:12" x14ac:dyDescent="0.25">
      <c r="B2" s="1" t="s">
        <v>14</v>
      </c>
      <c r="C2" s="1" t="s">
        <v>15</v>
      </c>
      <c r="D2" s="1" t="s">
        <v>17</v>
      </c>
      <c r="E2" s="13" t="s">
        <v>16</v>
      </c>
      <c r="F2" s="1" t="s">
        <v>18</v>
      </c>
      <c r="I2" s="13" t="s">
        <v>42</v>
      </c>
      <c r="J2" s="14">
        <f>SUM(C3:C6)</f>
        <v>24000</v>
      </c>
    </row>
    <row r="3" spans="2:12" x14ac:dyDescent="0.25">
      <c r="B3" s="1">
        <v>1</v>
      </c>
      <c r="C3" s="2">
        <v>6000</v>
      </c>
      <c r="D3" s="10">
        <v>1</v>
      </c>
      <c r="E3" s="14">
        <f>C3*D3</f>
        <v>6000</v>
      </c>
      <c r="F3" s="2">
        <v>5000</v>
      </c>
      <c r="G3" s="12">
        <f>F3-E3</f>
        <v>-1000</v>
      </c>
    </row>
    <row r="4" spans="2:12" x14ac:dyDescent="0.25">
      <c r="B4" s="1">
        <v>2</v>
      </c>
      <c r="C4" s="2">
        <v>6000</v>
      </c>
      <c r="D4" s="10">
        <v>1</v>
      </c>
      <c r="E4" s="14">
        <f>C4*D4</f>
        <v>6000</v>
      </c>
      <c r="F4" s="2">
        <v>5800</v>
      </c>
      <c r="G4" s="12">
        <f t="shared" ref="G4:G5" si="0">F4-E4</f>
        <v>-200</v>
      </c>
      <c r="I4" s="1" t="s">
        <v>44</v>
      </c>
    </row>
    <row r="5" spans="2:12" x14ac:dyDescent="0.25">
      <c r="B5" s="1">
        <v>3</v>
      </c>
      <c r="C5" s="2">
        <v>6000</v>
      </c>
      <c r="D5" s="10">
        <v>0.4</v>
      </c>
      <c r="E5" s="14">
        <f>C5*D5</f>
        <v>2400</v>
      </c>
      <c r="F5" s="2">
        <v>1800</v>
      </c>
      <c r="G5" s="12">
        <f t="shared" si="0"/>
        <v>-600</v>
      </c>
      <c r="I5" s="1" t="s">
        <v>45</v>
      </c>
      <c r="J5" s="1" t="s">
        <v>47</v>
      </c>
      <c r="K5" s="12">
        <f>E7-F7</f>
        <v>1800</v>
      </c>
      <c r="L5" t="s">
        <v>48</v>
      </c>
    </row>
    <row r="6" spans="2:12" x14ac:dyDescent="0.25">
      <c r="B6" s="1">
        <v>4</v>
      </c>
      <c r="C6" s="2">
        <v>6000</v>
      </c>
      <c r="D6" s="10">
        <v>0</v>
      </c>
      <c r="E6" s="14">
        <f>C6*D6</f>
        <v>0</v>
      </c>
      <c r="F6" s="2">
        <v>0</v>
      </c>
      <c r="I6" s="1" t="s">
        <v>46</v>
      </c>
      <c r="J6" s="1" t="s">
        <v>49</v>
      </c>
      <c r="K6" s="15">
        <f>E7/F7</f>
        <v>1.1428571428571428</v>
      </c>
      <c r="L6" t="s">
        <v>51</v>
      </c>
    </row>
    <row r="7" spans="2:12" x14ac:dyDescent="0.25">
      <c r="B7" s="1" t="s">
        <v>43</v>
      </c>
      <c r="C7" s="12">
        <f>SUM(C3:C5)</f>
        <v>18000</v>
      </c>
      <c r="E7" s="14">
        <f>SUM(E3:E6)</f>
        <v>14400</v>
      </c>
      <c r="F7" s="12">
        <f>SUM(F3:F6)</f>
        <v>12600</v>
      </c>
      <c r="G7" s="12">
        <f>SUM(G3:G6)</f>
        <v>-1800</v>
      </c>
      <c r="J7" s="1"/>
    </row>
    <row r="8" spans="2:12" x14ac:dyDescent="0.25">
      <c r="I8" s="1" t="s">
        <v>52</v>
      </c>
      <c r="J8" s="1"/>
    </row>
    <row r="9" spans="2:12" x14ac:dyDescent="0.25">
      <c r="C9" t="s">
        <v>35</v>
      </c>
      <c r="D9" t="s">
        <v>41</v>
      </c>
      <c r="I9" s="1" t="s">
        <v>53</v>
      </c>
      <c r="J9" s="1" t="s">
        <v>55</v>
      </c>
      <c r="K9" s="12">
        <f>E7-C7</f>
        <v>-3600</v>
      </c>
      <c r="L9" t="s">
        <v>57</v>
      </c>
    </row>
    <row r="10" spans="2:12" x14ac:dyDescent="0.25">
      <c r="C10" t="s">
        <v>36</v>
      </c>
      <c r="D10" t="s">
        <v>37</v>
      </c>
      <c r="I10" s="1" t="s">
        <v>54</v>
      </c>
      <c r="J10" s="1" t="s">
        <v>56</v>
      </c>
      <c r="K10" s="15">
        <f>E7/C7</f>
        <v>0.8</v>
      </c>
      <c r="L10" t="s">
        <v>58</v>
      </c>
    </row>
    <row r="12" spans="2:12" x14ac:dyDescent="0.25">
      <c r="C12" t="s">
        <v>38</v>
      </c>
      <c r="I12" s="1" t="s">
        <v>59</v>
      </c>
      <c r="J12" s="1" t="s">
        <v>60</v>
      </c>
      <c r="K12" s="12">
        <f>J2/K6</f>
        <v>21000</v>
      </c>
      <c r="L12" t="s">
        <v>63</v>
      </c>
    </row>
    <row r="13" spans="2:12" x14ac:dyDescent="0.25">
      <c r="C13" t="s">
        <v>39</v>
      </c>
      <c r="I13" s="1" t="s">
        <v>61</v>
      </c>
      <c r="J13" s="1" t="s">
        <v>64</v>
      </c>
      <c r="K13" s="12">
        <f>K12-F7</f>
        <v>8400</v>
      </c>
      <c r="L13" t="s">
        <v>62</v>
      </c>
    </row>
    <row r="14" spans="2:12" x14ac:dyDescent="0.25">
      <c r="C14" t="s">
        <v>40</v>
      </c>
      <c r="I14" s="1" t="s">
        <v>65</v>
      </c>
      <c r="J14" s="1" t="s">
        <v>66</v>
      </c>
      <c r="K14" s="12">
        <f>J2-K12</f>
        <v>3000</v>
      </c>
      <c r="L14" t="s">
        <v>67</v>
      </c>
    </row>
    <row r="16" spans="2:12" x14ac:dyDescent="0.25">
      <c r="C16" s="10">
        <v>0.6</v>
      </c>
      <c r="D16">
        <v>6000</v>
      </c>
      <c r="E16">
        <f>C16*D16</f>
        <v>3600</v>
      </c>
      <c r="F16" s="12">
        <f>E16+F7</f>
        <v>16200</v>
      </c>
      <c r="I16" s="16" t="s">
        <v>68</v>
      </c>
    </row>
    <row r="18" spans="3:9" x14ac:dyDescent="0.25">
      <c r="C18" t="s">
        <v>50</v>
      </c>
      <c r="I18" t="s">
        <v>69</v>
      </c>
    </row>
    <row r="19" spans="3:9" x14ac:dyDescent="0.25">
      <c r="I19" t="s">
        <v>70</v>
      </c>
    </row>
    <row r="20" spans="3:9" x14ac:dyDescent="0.25">
      <c r="I20" t="s">
        <v>71</v>
      </c>
    </row>
    <row r="21" spans="3:9" x14ac:dyDescent="0.25">
      <c r="I21" t="s">
        <v>72</v>
      </c>
    </row>
    <row r="22" spans="3:9" x14ac:dyDescent="0.25">
      <c r="I22" t="s">
        <v>78</v>
      </c>
    </row>
  </sheetData>
  <conditionalFormatting sqref="G3:G5">
    <cfRule type="cellIs" dxfId="3" priority="4" operator="lessThan">
      <formula>0</formula>
    </cfRule>
  </conditionalFormatting>
  <conditionalFormatting sqref="K9:K10">
    <cfRule type="cellIs" dxfId="2" priority="2" operator="lessThan">
      <formula>0</formula>
    </cfRule>
  </conditionalFormatting>
  <conditionalFormatting sqref="K10">
    <cfRule type="cellIs" dxfId="1" priority="1" operator="lessThan">
      <formula>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811C-06D2-42C1-A86F-BF213B480C43}">
  <dimension ref="B2:K15"/>
  <sheetViews>
    <sheetView tabSelected="1" workbookViewId="0"/>
  </sheetViews>
  <sheetFormatPr defaultRowHeight="15" x14ac:dyDescent="0.25"/>
  <cols>
    <col min="1" max="1" width="4.7109375" customWidth="1"/>
    <col min="2" max="2" width="11.85546875" bestFit="1" customWidth="1"/>
    <col min="3" max="3" width="5.5703125" bestFit="1" customWidth="1"/>
    <col min="4" max="4" width="16.42578125" customWidth="1"/>
    <col min="5" max="6" width="11.85546875" bestFit="1" customWidth="1"/>
    <col min="7" max="7" width="3.5703125" customWidth="1"/>
    <col min="8" max="8" width="6.140625" bestFit="1" customWidth="1"/>
    <col min="9" max="11" width="12.85546875" bestFit="1" customWidth="1"/>
    <col min="12" max="12" width="2.28515625" customWidth="1"/>
  </cols>
  <sheetData>
    <row r="2" spans="2:11" x14ac:dyDescent="0.25">
      <c r="B2" s="1" t="s">
        <v>15</v>
      </c>
      <c r="C2" s="1" t="s">
        <v>17</v>
      </c>
      <c r="D2" s="13" t="s">
        <v>16</v>
      </c>
      <c r="E2" s="1" t="s">
        <v>18</v>
      </c>
      <c r="H2" s="23" t="s">
        <v>74</v>
      </c>
      <c r="I2" s="23"/>
      <c r="J2" s="23"/>
      <c r="K2" s="23"/>
    </row>
    <row r="3" spans="2:11" x14ac:dyDescent="0.25">
      <c r="B3" s="2">
        <v>6000</v>
      </c>
      <c r="C3" s="10">
        <v>1</v>
      </c>
      <c r="D3" s="14">
        <f>B3*C3</f>
        <v>6000</v>
      </c>
      <c r="E3" s="2">
        <v>5000</v>
      </c>
      <c r="F3" s="12">
        <f>E3-D3</f>
        <v>-1000</v>
      </c>
      <c r="H3" s="1" t="s">
        <v>14</v>
      </c>
      <c r="I3" s="1" t="s">
        <v>15</v>
      </c>
      <c r="J3" s="1" t="s">
        <v>16</v>
      </c>
      <c r="K3" s="1" t="s">
        <v>18</v>
      </c>
    </row>
    <row r="4" spans="2:11" x14ac:dyDescent="0.25">
      <c r="B4" s="2">
        <v>6000</v>
      </c>
      <c r="C4" s="10">
        <v>1</v>
      </c>
      <c r="D4" s="14">
        <f>B4*C4</f>
        <v>6000</v>
      </c>
      <c r="E4" s="2">
        <v>5800</v>
      </c>
      <c r="F4" s="12">
        <f t="shared" ref="F4:F5" si="0">E4-D4</f>
        <v>-200</v>
      </c>
      <c r="H4" s="1">
        <v>1</v>
      </c>
      <c r="I4" s="2">
        <v>6000</v>
      </c>
      <c r="J4" s="2">
        <f>D3</f>
        <v>6000</v>
      </c>
      <c r="K4" s="2">
        <f>E3</f>
        <v>5000</v>
      </c>
    </row>
    <row r="5" spans="2:11" x14ac:dyDescent="0.25">
      <c r="B5" s="2">
        <v>6000</v>
      </c>
      <c r="C5" s="10">
        <v>0.4</v>
      </c>
      <c r="D5" s="14">
        <f>B5*C5</f>
        <v>2400</v>
      </c>
      <c r="E5" s="2">
        <v>1800</v>
      </c>
      <c r="F5" s="12">
        <f t="shared" si="0"/>
        <v>-600</v>
      </c>
      <c r="H5" s="1">
        <v>2</v>
      </c>
      <c r="I5" s="2">
        <f>B4+I4</f>
        <v>12000</v>
      </c>
      <c r="J5" s="2">
        <f>D4+J4</f>
        <v>12000</v>
      </c>
      <c r="K5" s="2">
        <f>E4+K4</f>
        <v>10800</v>
      </c>
    </row>
    <row r="6" spans="2:11" x14ac:dyDescent="0.25">
      <c r="B6" s="2">
        <v>6000</v>
      </c>
      <c r="C6" s="10">
        <v>0</v>
      </c>
      <c r="D6" s="14">
        <f>B6*C6</f>
        <v>0</v>
      </c>
      <c r="E6" s="2">
        <v>0</v>
      </c>
      <c r="H6" s="1">
        <v>3</v>
      </c>
      <c r="I6" s="2">
        <f>B5+I5</f>
        <v>18000</v>
      </c>
      <c r="J6" s="2">
        <f>D5+J5</f>
        <v>14400</v>
      </c>
      <c r="K6" s="2">
        <f>E5+K5</f>
        <v>12600</v>
      </c>
    </row>
    <row r="7" spans="2:11" x14ac:dyDescent="0.25">
      <c r="H7" s="1"/>
      <c r="I7" s="2"/>
      <c r="J7" s="2"/>
      <c r="K7" s="2"/>
    </row>
    <row r="8" spans="2:11" x14ac:dyDescent="0.25">
      <c r="H8" t="s">
        <v>73</v>
      </c>
    </row>
    <row r="10" spans="2:11" x14ac:dyDescent="0.25">
      <c r="B10" t="s">
        <v>75</v>
      </c>
    </row>
    <row r="12" spans="2:11" x14ac:dyDescent="0.25">
      <c r="B12" t="s">
        <v>76</v>
      </c>
    </row>
    <row r="13" spans="2:11" x14ac:dyDescent="0.25">
      <c r="B13" t="s">
        <v>77</v>
      </c>
    </row>
    <row r="14" spans="2:11" x14ac:dyDescent="0.25">
      <c r="B14" t="s">
        <v>79</v>
      </c>
    </row>
    <row r="15" spans="2:11" x14ac:dyDescent="0.25">
      <c r="B15" t="s">
        <v>80</v>
      </c>
    </row>
  </sheetData>
  <mergeCells count="1">
    <mergeCell ref="H2:K2"/>
  </mergeCells>
  <conditionalFormatting sqref="F3:F5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62B415CA2F41B03BD5FDD7749FE8" ma:contentTypeVersion="3" ma:contentTypeDescription="Crie um novo documento." ma:contentTypeScope="" ma:versionID="0c7a45822375dc822d069207f4dff0ae">
  <xsd:schema xmlns:xsd="http://www.w3.org/2001/XMLSchema" xmlns:xs="http://www.w3.org/2001/XMLSchema" xmlns:p="http://schemas.microsoft.com/office/2006/metadata/properties" xmlns:ns2="dd87c850-3583-44c6-85ce-f467ca38b0d6" targetNamespace="http://schemas.microsoft.com/office/2006/metadata/properties" ma:root="true" ma:fieldsID="c8d587cfd54e59f40b55592dab8570be" ns2:_="">
    <xsd:import namespace="dd87c850-3583-44c6-85ce-f467ca38b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7c850-3583-44c6-85ce-f467ca38b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D6BA75-7B75-444E-A50C-D719A054C2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AA5A34-67B5-4AD2-BA0A-FE95FB0ADD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7c850-3583-44c6-85ce-f467ca38b0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93DEBA-B535-499F-AA1C-7BC8FBEA367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Teoria</vt:lpstr>
      <vt:lpstr>Alambrado_DR</vt:lpstr>
      <vt:lpstr>Alambrado_R$</vt:lpstr>
      <vt:lpstr>Curva_S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Felipe de Jesus</cp:lastModifiedBy>
  <dcterms:created xsi:type="dcterms:W3CDTF">2025-10-17T11:04:13Z</dcterms:created>
  <dcterms:modified xsi:type="dcterms:W3CDTF">2025-10-21T15:28:54Z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0x010100CA4962B415CA2F41B03BD5FDD7749FE8</vt:lpwstr>
  </property>
</Properties>
</file>